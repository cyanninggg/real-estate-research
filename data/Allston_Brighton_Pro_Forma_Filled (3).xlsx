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Inputs" sheetId="2" state="visible" r:id="rId4"/>
    <sheet name="Pro Forma" sheetId="3" state="visible" r:id="rId5"/>
    <sheet name="Sensitivity" sheetId="4" state="visible" r:id="rId6"/>
    <sheet name="Policy" sheetId="5" state="visible" r:id="rId7"/>
    <sheet name="Demand"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<sst xmlns="http://schemas.openxmlformats.org/spreadsheetml/2006/main" count="213" uniqueCount="179">
  <si>
    <t xml:space="preserve">Allston–Brighton Development Feasibility – Pro Forma (filled with public data)</t>
  </si>
  <si>
    <t xml:space="preserve">Question</t>
  </si>
  <si>
    <t xml:space="preserve">If a new 150-unit building like Hew at 1515 were built in Brighton today, does it pencil out as all market-rate, and what happens under Boston's current Inclusionary Zoning rules (20% affordable at an average of 60% AMI)? What does the city gain in property tax?</t>
  </si>
  <si>
    <t xml:space="preserve">How the workbook is organized</t>
  </si>
  <si>
    <t xml:space="preserve">Inputs: every assumption, its value, and where it came from. Column E tags each one as Sourced, Derived (calculated from sourced data), or Assumption.</t>
  </si>
  <si>
    <t xml:space="preserve">Pro Forma: market-rate vs. inclusionary scenario side by side.</t>
  </si>
  <si>
    <t xml:space="preserve">Sensitivity: yield on cost if rents move up or down.</t>
  </si>
  <si>
    <t xml:space="preserve">Demand: Census data on the Allston–Brighton–Fenway area.</t>
  </si>
  <si>
    <t xml:space="preserve">Policy: tests how much of the inclusionary gap a property tax abatement closes, and what it costs the city.</t>
  </si>
  <si>
    <t xml:space="preserve">Before publishing</t>
  </si>
  <si>
    <t xml:space="preserve">Items tagged 'Assumption' are the weakest links (hard cost, soft cost, contingency, efficiency, operating expenses). Improve them if you find better sources, and be ready to explain them in an interview.</t>
  </si>
  <si>
    <t xml:space="preserve">The land cost is a 2019 purchase price allocated by unit count, not a current land value.</t>
  </si>
  <si>
    <t xml:space="preserve">Color legend</t>
  </si>
  <si>
    <t xml:space="preserve">Yellow fill + blue text = inputs you can change</t>
  </si>
  <si>
    <t xml:space="preserve">Black = formulas</t>
  </si>
  <si>
    <t xml:space="preserve">Green = formulas pulling from another sheet</t>
  </si>
  <si>
    <t xml:space="preserve">Simplifications</t>
  </si>
  <si>
    <t xml:space="preserve">• One stabilized year only (no construction period, lease-up, or multi-year cash flow).</t>
  </si>
  <si>
    <t xml:space="preserve">• Operating expenses include property tax; the city tax line estimates tax on the stabilized value.</t>
  </si>
  <si>
    <t xml:space="preserve">• Same building and same total cost in both scenarios; only affordable-unit rents change. Concessions apply to market-rate units only.</t>
  </si>
  <si>
    <t xml:space="preserve">• No subsidies, density bonuses, tax relief, or debt are modeled. These are natural next steps.</t>
  </si>
  <si>
    <t xml:space="preserve">Inputs</t>
  </si>
  <si>
    <t xml:space="preserve">Change any yellow cell and the whole model updates. Sources as of October 2026.</t>
  </si>
  <si>
    <t xml:space="preserve">Input</t>
  </si>
  <si>
    <t xml:space="preserve">Value</t>
  </si>
  <si>
    <t xml:space="preserve">Unit</t>
  </si>
  <si>
    <t xml:space="preserve">Source / basis</t>
  </si>
  <si>
    <t xml:space="preserve">Type</t>
  </si>
  <si>
    <t xml:space="preserve">PROJECT</t>
  </si>
  <si>
    <t xml:space="preserve">Total units</t>
  </si>
  <si>
    <t xml:space="preserve">units</t>
  </si>
  <si>
    <t xml:space="preserve">Hew at 1515 has 150 apartments (Apartments.com; Maloney Properties)</t>
  </si>
  <si>
    <t xml:space="preserve">Sourced</t>
  </si>
  <si>
    <t xml:space="preserve">Average unit size</t>
  </si>
  <si>
    <t xml:space="preserve">sq ft</t>
  </si>
  <si>
    <t xml:space="preserve">Weighted average of Hew floor plans (studio ~450, 1BR ~670, 2BR ~960 sq ft), using Hew's income-restricted unit mix (10 studios / 11 1BR / 5 2BR) as a proxy for the building's mix</t>
  </si>
  <si>
    <t xml:space="preserve">Derived</t>
  </si>
  <si>
    <t xml:space="preserve">Building efficiency (rentable ÷ gross)</t>
  </si>
  <si>
    <t xml:space="preserve">%</t>
  </si>
  <si>
    <t xml:space="preserve">Common rule of thumb for mid-rise apartments</t>
  </si>
  <si>
    <t xml:space="preserve">Assumption</t>
  </si>
  <si>
    <t xml:space="preserve">COSTS</t>
  </si>
  <si>
    <t xml:space="preserve">Land cost</t>
  </si>
  <si>
    <t xml:space="preserve">$</t>
  </si>
  <si>
    <t xml:space="preserve">The Davis Cos. paid $15.75M for the 2.1-acre site in 2019 for 151 apartments + 102 condos; allocated 151/253 to the apartment wing ≈ $9.4M. 2019 price, not adjusted</t>
  </si>
  <si>
    <t xml:space="preserve">Hard cost per gross sq ft</t>
  </si>
  <si>
    <t xml:space="preserve">$/gross sq ft</t>
  </si>
  <si>
    <t xml:space="preserve">No public Boston-specific figure found. US average ~$350/sq ft in 2023 (multifamily.loans); Boston is a high-cost market; multifamily input costs +7.3% in the 12 months to June 2026 (Associated Builders and Contractors, via CRE Daily)</t>
  </si>
  <si>
    <t xml:space="preserve">Soft costs (% of hard costs)</t>
  </si>
  <si>
    <t xml:space="preserve">Design, permits, legal, fees</t>
  </si>
  <si>
    <t xml:space="preserve">Contingency &amp; financing (% of hard + soft)</t>
  </si>
  <si>
    <t xml:space="preserve">Construction interest and cost overrun buffer</t>
  </si>
  <si>
    <t xml:space="preserve">REVENUE</t>
  </si>
  <si>
    <t xml:space="preserve">Market rent per unit per month</t>
  </si>
  <si>
    <t xml:space="preserve">$/month</t>
  </si>
  <si>
    <t xml:space="preserve">Hew listed rents Oct 2026: studio $3,100; 1BR $3,840–$4,290; 2BR $4,890–$5,150 (Bentley off-campus housing listing); weighted by the proxy mix above</t>
  </si>
  <si>
    <t xml:space="preserve">Concessions (months free per year, market units)</t>
  </si>
  <si>
    <t xml:space="preserve">months</t>
  </si>
  <si>
    <t xml:space="preserve">Hew listings advertise one month free rent, some two months (RentHop, BostonPads)</t>
  </si>
  <si>
    <t xml:space="preserve">Affordable share of units (inclusionary scenario)</t>
  </si>
  <si>
    <t xml:space="preserve">Boston Inclusionary Zoning (Article 79), effective Oct 1, 2024: large rental projects provide 20% at an average of 60% AMI, or 18% at an average of 50% AMI</t>
  </si>
  <si>
    <t xml:space="preserve">Affordable rent per unit per month</t>
  </si>
  <si>
    <t xml:space="preserve">City of Boston 2025 maximum affordable rents at 60% AMI: studio $1,266, 1BR $1,484, 2BR $1,680; weighted by the proxy mix</t>
  </si>
  <si>
    <t xml:space="preserve">Other income per unit per month</t>
  </si>
  <si>
    <t xml:space="preserve">Mandatory monthly fees: Greystar lists Hew's total monthly leasing price at $3,366 vs. base rent $3,296 = $70</t>
  </si>
  <si>
    <t xml:space="preserve">Vacancy &amp; credit loss</t>
  </si>
  <si>
    <t xml:space="preserve">Northmarq forecasts Greater Boston vacancy near 5.2% at end-2026; Census shows ~6% of units vacant in the area</t>
  </si>
  <si>
    <t xml:space="preserve">Operating expenses per unit per year (incl. property tax)</t>
  </si>
  <si>
    <t xml:space="preserve">$/unit/year</t>
  </si>
  <si>
    <t xml:space="preserve">~$5,500 property tax (Boston average sale price ~$441,500/unit [Yardi Matrix] × $12.40 per $1,000) + ~$8,000 other operating costs</t>
  </si>
  <si>
    <t xml:space="preserve">VALUATION &amp; CITY TAX</t>
  </si>
  <si>
    <t xml:space="preserve">Market cap rate (Boston multifamily)</t>
  </si>
  <si>
    <t xml:space="preserve">Boston luxury Class A multifamily ~5.18% (Apartment Loan Store, Jul 2026); Boston cap rates ~5.2% (Matthews, Jul 2026). Verify against CBRE H1 2026 Cap Rate Survey</t>
  </si>
  <si>
    <t xml:space="preserve">Property tax rate per $1,000 of value</t>
  </si>
  <si>
    <t xml:space="preserve">$ per $1,000</t>
  </si>
  <si>
    <t xml:space="preserve">City of Boston FY2026 residential tax rate (boston.gov, Assessing)</t>
  </si>
  <si>
    <t xml:space="preserve">Assessed value as % of stabilized value</t>
  </si>
  <si>
    <t xml:space="preserve">Assessed values can differ from market value</t>
  </si>
  <si>
    <t xml:space="preserve">POLICY</t>
  </si>
  <si>
    <t xml:space="preserve">Property tax included in operating expenses, per unit per year</t>
  </si>
  <si>
    <t xml:space="preserve">Boston average multifamily sale price ~$441,500/unit (Yardi Matrix) × $12.40 per $1,000; this is the portion of opex an abatement would reduce</t>
  </si>
  <si>
    <t xml:space="preserve">Property tax abatement (average over the term)</t>
  </si>
  <si>
    <t xml:space="preserve">Boston office-to-residential conversion program: average 75% abatement for up to 29 years (Boston Planning Department)</t>
  </si>
  <si>
    <t xml:space="preserve">Pro Forma – stabilized year</t>
  </si>
  <si>
    <t xml:space="preserve">A new 150-unit building like Hew at 1515. All figures annual unless noted.</t>
  </si>
  <si>
    <t xml:space="preserve">Line item</t>
  </si>
  <si>
    <t xml:space="preserve">Market-rate</t>
  </si>
  <si>
    <t xml:space="preserve">Inclusionary (20% at 60% AMI)</t>
  </si>
  <si>
    <t xml:space="preserve">Difference</t>
  </si>
  <si>
    <t xml:space="preserve">UNITS</t>
  </si>
  <si>
    <t xml:space="preserve">Affordable units</t>
  </si>
  <si>
    <t xml:space="preserve">Market-rate units</t>
  </si>
  <si>
    <t xml:space="preserve">Rentable sq ft</t>
  </si>
  <si>
    <t xml:space="preserve">Gross building sq ft</t>
  </si>
  <si>
    <t xml:space="preserve">DEVELOPMENT COST ($)</t>
  </si>
  <si>
    <t xml:space="preserve">Land</t>
  </si>
  <si>
    <t xml:space="preserve">Hard costs</t>
  </si>
  <si>
    <t xml:space="preserve">Soft costs</t>
  </si>
  <si>
    <t xml:space="preserve">Contingency &amp; financing</t>
  </si>
  <si>
    <t xml:space="preserve">Total development cost</t>
  </si>
  <si>
    <t xml:space="preserve">Cost per unit</t>
  </si>
  <si>
    <t xml:space="preserve">OPERATIONS ($)</t>
  </si>
  <si>
    <t xml:space="preserve">Gross potential rent</t>
  </si>
  <si>
    <t xml:space="preserve">Less: concessions (market units)</t>
  </si>
  <si>
    <t xml:space="preserve">Other income</t>
  </si>
  <si>
    <t xml:space="preserve">Less: vacancy &amp; credit loss</t>
  </si>
  <si>
    <t xml:space="preserve">Effective gross income</t>
  </si>
  <si>
    <t xml:space="preserve">Less: operating expenses</t>
  </si>
  <si>
    <t xml:space="preserve">Net operating income (NOI)</t>
  </si>
  <si>
    <t xml:space="preserve">RETURNS</t>
  </si>
  <si>
    <t xml:space="preserve">Yield on cost (NOI ÷ total cost)</t>
  </si>
  <si>
    <t xml:space="preserve">Market cap rate</t>
  </si>
  <si>
    <t xml:space="preserve">Development spread (yield on cost – cap rate)</t>
  </si>
  <si>
    <t xml:space="preserve">Stabilized value (NOI ÷ cap rate)</t>
  </si>
  <si>
    <t xml:space="preserve">Developer profit (value – total cost)</t>
  </si>
  <si>
    <t xml:space="preserve">Profit margin on cost</t>
  </si>
  <si>
    <t xml:space="preserve">WHAT THE CITY GAINS</t>
  </si>
  <si>
    <t xml:space="preserve">Estimated annual property tax</t>
  </si>
  <si>
    <t xml:space="preserve">Affordable homes created</t>
  </si>
  <si>
    <t xml:space="preserve">Funding gap to break even (if profit &lt; 0)</t>
  </si>
  <si>
    <t xml:space="preserve">Gap per affordable unit</t>
  </si>
  <si>
    <t xml:space="preserve">Takeaway</t>
  </si>
  <si>
    <t xml:space="preserve">Sensitivity – yield on cost if market rents move</t>
  </si>
  <si>
    <t xml:space="preserve">Market rents (and concessions) move; affordable rents, other income, costs and expenses unchanged.</t>
  </si>
  <si>
    <t xml:space="preserve">Market rent change</t>
  </si>
  <si>
    <t xml:space="preserve">Market-rate yield on cost</t>
  </si>
  <si>
    <t xml:space="preserve">Inclusionary yield on cost</t>
  </si>
  <si>
    <t xml:space="preserve">Cap rate</t>
  </si>
  <si>
    <t xml:space="preserve">Developers usually want yield on cost meaningfully above the cap rate to justify construction risk.</t>
  </si>
  <si>
    <t xml:space="preserve">Policy – can a tax abatement close the inclusionary gap?</t>
  </si>
  <si>
    <t xml:space="preserve">Applies the abatement to the inclusionary scenario. Uses the same building, costs and cap rate as the Pro Forma sheet.</t>
  </si>
  <si>
    <t xml:space="preserve">Inclusionary, no abatement</t>
  </si>
  <si>
    <t xml:space="preserve">Inclusionary + abatement</t>
  </si>
  <si>
    <t xml:space="preserve">Property tax in operating expenses</t>
  </si>
  <si>
    <t xml:space="preserve">Tax saved by abatement</t>
  </si>
  <si>
    <t xml:space="preserve">Yield on cost</t>
  </si>
  <si>
    <t xml:space="preserve">Stabilized value</t>
  </si>
  <si>
    <t xml:space="preserve">Developer profit (value – cost)</t>
  </si>
  <si>
    <t xml:space="preserve">Gap remaining (if profit &lt; 0)</t>
  </si>
  <si>
    <t xml:space="preserve">WHAT IT COSTS AND DELIVERS</t>
  </si>
  <si>
    <t xml:space="preserve">Share of the gap closed by the abatement</t>
  </si>
  <si>
    <t xml:space="preserve">Foregone property tax to the city, per year</t>
  </si>
  <si>
    <t xml:space="preserve">Foregone tax per affordable home, per year</t>
  </si>
  <si>
    <t xml:space="preserve">Abatement needed to fully break even</t>
  </si>
  <si>
    <t xml:space="preserve">Abatement sensitivity</t>
  </si>
  <si>
    <t xml:space="preserve">Abatement</t>
  </si>
  <si>
    <t xml:space="preserve">Developer profit</t>
  </si>
  <si>
    <t xml:space="preserve">Foregone tax per year</t>
  </si>
  <si>
    <t xml:space="preserve">Demand – Census data</t>
  </si>
  <si>
    <t xml:space="preserve">Source: U.S. Census Bureau, ACS 2024 1-year estimates (some 5-year as noted), via Census Reporter, 'Boston City--Allston, Brighton &amp; Fenway PUMA, MA'. Many figures have margins of error of 10%+.</t>
  </si>
  <si>
    <t xml:space="preserve">Metric</t>
  </si>
  <si>
    <t xml:space="preserve">Allston–Brighton–Fenway</t>
  </si>
  <si>
    <t xml:space="preserve">Massachusetts</t>
  </si>
  <si>
    <t xml:space="preserve">Why it matters</t>
  </si>
  <si>
    <t xml:space="preserve">Population</t>
  </si>
  <si>
    <t xml:space="preserve">Scale of the submarket</t>
  </si>
  <si>
    <t xml:space="preserve">Median age</t>
  </si>
  <si>
    <t xml:space="preserve">Very young market: students and early-career renters</t>
  </si>
  <si>
    <t xml:space="preserve">Share of population aged 20–29</t>
  </si>
  <si>
    <t xml:space="preserve">Core renter age group</t>
  </si>
  <si>
    <t xml:space="preserve">Persons per household</t>
  </si>
  <si>
    <t xml:space="preserve">Small households point to studios and 1-bedrooms</t>
  </si>
  <si>
    <t xml:space="preserve">Renter-occupied share</t>
  </si>
  <si>
    <t xml:space="preserve">Overwhelmingly a rental market</t>
  </si>
  <si>
    <t xml:space="preserve">Occupied share of housing units</t>
  </si>
  <si>
    <t xml:space="preserve">~6% vacancy; supports the vacancy input</t>
  </si>
  <si>
    <t xml:space="preserve">Moved since previous year</t>
  </si>
  <si>
    <t xml:space="preserve">High turnover: steady leasing demand, retention matters</t>
  </si>
  <si>
    <t xml:space="preserve">Median household income</t>
  </si>
  <si>
    <t xml:space="preserve">Anchor for affordability</t>
  </si>
  <si>
    <t xml:space="preserve">Persons below poverty line</t>
  </si>
  <si>
    <t xml:space="preserve">Supports the case for affordable units</t>
  </si>
  <si>
    <t xml:space="preserve">Commute by public transit</t>
  </si>
  <si>
    <t xml:space="preserve">Transit access is a key amenity</t>
  </si>
  <si>
    <t xml:space="preserve">Commute by walking</t>
  </si>
  <si>
    <t xml:space="preserve">Walkability matters</t>
  </si>
  <si>
    <t xml:space="preserve">Median value, owner-occupied units (5-yr)</t>
  </si>
  <si>
    <t xml:space="preserve">Ownership is expensive, keeping households renting</t>
  </si>
  <si>
    <t xml:space="preserve">Note: this area includes Fenway, which has many students. For Brighton only, pull the census tracts around Hew on data.census.gov.</t>
  </si>
</sst>
</file>

<file path=xl/styles.xml><?xml version="1.0" encoding="utf-8"?>
<styleSheet xmlns="http://schemas.openxmlformats.org/spreadsheetml/2006/main">
  <numFmts count="9">
    <numFmt numFmtId="164" formatCode="General"/>
    <numFmt numFmtId="165" formatCode="#,##0;\(#,##0\);\-"/>
    <numFmt numFmtId="166" formatCode="0.0%;\(0.0%\);\-"/>
    <numFmt numFmtId="167" formatCode="\$#,##0;&quot;($&quot;#,##0\);\-"/>
    <numFmt numFmtId="168" formatCode="0.0"/>
    <numFmt numFmtId="169" formatCode="\$#,##0.00"/>
    <numFmt numFmtId="170" formatCode="0.00%;\(0.00%\);\-"/>
    <numFmt numFmtId="171" formatCode="\+0%;\-0%;0%"/>
    <numFmt numFmtId="172" formatCode="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C00000"/>
      <name val="Arial"/>
      <family val="0"/>
      <charset val="1"/>
    </font>
    <font>
      <sz val="11"/>
      <color rgb="FF0000FF"/>
      <name val="Arial"/>
      <family val="0"/>
      <charset val="1"/>
    </font>
    <font>
      <sz val="11"/>
      <color rgb="FF008000"/>
      <name val="Arial"/>
      <family val="0"/>
      <charset val="1"/>
    </font>
    <font>
      <i val="true"/>
      <sz val="11"/>
      <color rgb="FF808080"/>
      <name val="Arial"/>
      <family val="0"/>
      <charset val="1"/>
    </font>
    <font>
      <b val="true"/>
      <sz val="11"/>
      <color rgb="FFFFFFFF"/>
      <name val="Arial"/>
      <family val="0"/>
      <charset val="1"/>
    </font>
    <font>
      <b val="true"/>
      <sz val="11"/>
      <color rgb="FF008000"/>
      <name val="Arial"/>
      <family val="0"/>
      <charset val="1"/>
    </font>
    <font>
      <b val="true"/>
      <sz val="11"/>
      <color rgb="FF1F3864"/>
      <name val="Arial"/>
      <family val="0"/>
      <charset val="1"/>
    </font>
    <font>
      <i val="true"/>
      <sz val="11"/>
      <name val="Arial"/>
      <family val="0"/>
      <charset val="1"/>
    </font>
    <font>
      <i val="true"/>
      <sz val="11"/>
      <color rgb="FFC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8"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false" applyProtection="false">
      <alignment horizontal="general" vertical="bottom" textRotation="0" wrapText="false" indent="0" shrinkToFit="false"/>
      <protection locked="true" hidden="false"/>
    </xf>
    <xf numFmtId="168" fontId="8" fillId="4" borderId="0" xfId="0" applyFont="true" applyBorder="false" applyAlignment="false" applyProtection="false">
      <alignment horizontal="general" vertical="bottom" textRotation="0" wrapText="false" indent="0" shrinkToFit="false"/>
      <protection locked="true" hidden="false"/>
    </xf>
    <xf numFmtId="169" fontId="8" fillId="4"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39.5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6.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26.85" hidden="false" customHeight="false" outlineLevel="0" collapsed="false">
      <c r="A14" s="4"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15" hidden="false" customHeight="false" outlineLevel="0" collapsed="false">
      <c r="A18" s="5" t="s">
        <v>13</v>
      </c>
    </row>
    <row r="19" customFormat="false" ht="15" hidden="false" customHeight="false" outlineLevel="0" collapsed="false">
      <c r="A19" s="2" t="s">
        <v>14</v>
      </c>
    </row>
    <row r="20" customFormat="false" ht="15" hidden="false" customHeight="false" outlineLevel="0" collapsed="false">
      <c r="A20" s="6" t="s">
        <v>15</v>
      </c>
    </row>
    <row r="21" customFormat="false" ht="15" hidden="false" customHeight="false" outlineLevel="0" collapsed="false">
      <c r="A21" s="2"/>
    </row>
    <row r="22" customFormat="false" ht="15" hidden="false" customHeight="false" outlineLevel="0" collapsed="false">
      <c r="A22" s="3" t="s">
        <v>16</v>
      </c>
    </row>
    <row r="23" customFormat="false" ht="15" hidden="false" customHeight="false" outlineLevel="0" collapsed="false">
      <c r="A23" s="2" t="s">
        <v>17</v>
      </c>
    </row>
    <row r="24" customFormat="false" ht="15" hidden="false" customHeight="false" outlineLevel="0" collapsed="false">
      <c r="A24" s="2" t="s">
        <v>18</v>
      </c>
    </row>
    <row r="25" customFormat="false" ht="26.85" hidden="false" customHeight="false" outlineLevel="0" collapsed="false">
      <c r="A25" s="2" t="s">
        <v>19</v>
      </c>
    </row>
    <row r="26" customFormat="false" ht="15" hidden="false" customHeight="false" outlineLevel="0" collapsed="false">
      <c r="A26"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80"/>
    <col collapsed="false" customWidth="true" hidden="false" outlineLevel="0" max="5" min="5" style="0" width="12"/>
  </cols>
  <sheetData>
    <row r="1" customFormat="false" ht="17.35" hidden="false" customHeight="false" outlineLevel="0" collapsed="false">
      <c r="A1" s="7" t="s">
        <v>21</v>
      </c>
    </row>
    <row r="2" customFormat="false" ht="15" hidden="false" customHeight="false" outlineLevel="0" collapsed="false">
      <c r="A2" s="8" t="s">
        <v>22</v>
      </c>
    </row>
    <row r="4" customFormat="false" ht="15" hidden="false" customHeight="false" outlineLevel="0" collapsed="false">
      <c r="A4" s="9" t="s">
        <v>23</v>
      </c>
      <c r="B4" s="9" t="s">
        <v>24</v>
      </c>
      <c r="C4" s="9" t="s">
        <v>25</v>
      </c>
      <c r="D4" s="9" t="s">
        <v>26</v>
      </c>
      <c r="E4" s="9" t="s">
        <v>27</v>
      </c>
    </row>
    <row r="5" customFormat="false" ht="15" hidden="false" customHeight="false" outlineLevel="0" collapsed="false">
      <c r="A5" s="10" t="s">
        <v>28</v>
      </c>
      <c r="B5" s="11"/>
      <c r="C5" s="11"/>
      <c r="D5" s="11"/>
      <c r="E5" s="11"/>
    </row>
    <row r="6" customFormat="false" ht="15" hidden="false" customHeight="false" outlineLevel="0" collapsed="false">
      <c r="A6" s="12" t="s">
        <v>29</v>
      </c>
      <c r="B6" s="13" t="n">
        <v>150</v>
      </c>
      <c r="C6" s="12" t="s">
        <v>30</v>
      </c>
      <c r="D6" s="2" t="s">
        <v>31</v>
      </c>
      <c r="E6" s="14" t="s">
        <v>32</v>
      </c>
    </row>
    <row r="7" customFormat="false" ht="39.55" hidden="false" customHeight="false" outlineLevel="0" collapsed="false">
      <c r="A7" s="12" t="s">
        <v>33</v>
      </c>
      <c r="B7" s="13" t="n">
        <v>640</v>
      </c>
      <c r="C7" s="12" t="s">
        <v>34</v>
      </c>
      <c r="D7" s="2" t="s">
        <v>35</v>
      </c>
      <c r="E7" s="15" t="s">
        <v>36</v>
      </c>
    </row>
    <row r="8" customFormat="false" ht="15" hidden="false" customHeight="false" outlineLevel="0" collapsed="false">
      <c r="A8" s="12" t="s">
        <v>37</v>
      </c>
      <c r="B8" s="16" t="n">
        <v>0.85</v>
      </c>
      <c r="C8" s="12" t="s">
        <v>38</v>
      </c>
      <c r="D8" s="2" t="s">
        <v>39</v>
      </c>
      <c r="E8" s="17" t="s">
        <v>40</v>
      </c>
    </row>
    <row r="9" customFormat="false" ht="15" hidden="false" customHeight="false" outlineLevel="0" collapsed="false">
      <c r="A9" s="10" t="s">
        <v>41</v>
      </c>
      <c r="B9" s="11"/>
      <c r="C9" s="11"/>
      <c r="D9" s="11"/>
      <c r="E9" s="11"/>
    </row>
    <row r="10" customFormat="false" ht="26.85" hidden="false" customHeight="false" outlineLevel="0" collapsed="false">
      <c r="A10" s="12" t="s">
        <v>42</v>
      </c>
      <c r="B10" s="18" t="n">
        <v>9400000</v>
      </c>
      <c r="C10" s="12" t="s">
        <v>43</v>
      </c>
      <c r="D10" s="2" t="s">
        <v>44</v>
      </c>
      <c r="E10" s="15" t="s">
        <v>36</v>
      </c>
    </row>
    <row r="11" customFormat="false" ht="39.55" hidden="false" customHeight="false" outlineLevel="0" collapsed="false">
      <c r="A11" s="12" t="s">
        <v>45</v>
      </c>
      <c r="B11" s="18" t="n">
        <v>450</v>
      </c>
      <c r="C11" s="12" t="s">
        <v>46</v>
      </c>
      <c r="D11" s="2" t="s">
        <v>47</v>
      </c>
      <c r="E11" s="17" t="s">
        <v>40</v>
      </c>
    </row>
    <row r="12" customFormat="false" ht="15" hidden="false" customHeight="false" outlineLevel="0" collapsed="false">
      <c r="A12" s="12" t="s">
        <v>48</v>
      </c>
      <c r="B12" s="16" t="n">
        <v>0.25</v>
      </c>
      <c r="C12" s="12" t="s">
        <v>38</v>
      </c>
      <c r="D12" s="2" t="s">
        <v>49</v>
      </c>
      <c r="E12" s="17" t="s">
        <v>40</v>
      </c>
    </row>
    <row r="13" customFormat="false" ht="15" hidden="false" customHeight="false" outlineLevel="0" collapsed="false">
      <c r="A13" s="12" t="s">
        <v>50</v>
      </c>
      <c r="B13" s="16" t="n">
        <v>0.1</v>
      </c>
      <c r="C13" s="12" t="s">
        <v>38</v>
      </c>
      <c r="D13" s="2" t="s">
        <v>51</v>
      </c>
      <c r="E13" s="17" t="s">
        <v>40</v>
      </c>
    </row>
    <row r="14" customFormat="false" ht="15" hidden="false" customHeight="false" outlineLevel="0" collapsed="false">
      <c r="A14" s="10" t="s">
        <v>52</v>
      </c>
      <c r="B14" s="11"/>
      <c r="C14" s="11"/>
      <c r="D14" s="11"/>
      <c r="E14" s="11"/>
    </row>
    <row r="15" customFormat="false" ht="26.85" hidden="false" customHeight="false" outlineLevel="0" collapsed="false">
      <c r="A15" s="12" t="s">
        <v>53</v>
      </c>
      <c r="B15" s="18" t="n">
        <v>3875</v>
      </c>
      <c r="C15" s="12" t="s">
        <v>54</v>
      </c>
      <c r="D15" s="2" t="s">
        <v>55</v>
      </c>
      <c r="E15" s="15" t="s">
        <v>36</v>
      </c>
    </row>
    <row r="16" customFormat="false" ht="15" hidden="false" customHeight="false" outlineLevel="0" collapsed="false">
      <c r="A16" s="12" t="s">
        <v>56</v>
      </c>
      <c r="B16" s="19" t="n">
        <v>1</v>
      </c>
      <c r="C16" s="12" t="s">
        <v>57</v>
      </c>
      <c r="D16" s="2" t="s">
        <v>58</v>
      </c>
      <c r="E16" s="14" t="s">
        <v>32</v>
      </c>
    </row>
    <row r="17" customFormat="false" ht="26.85" hidden="false" customHeight="false" outlineLevel="0" collapsed="false">
      <c r="A17" s="12" t="s">
        <v>59</v>
      </c>
      <c r="B17" s="16" t="n">
        <v>0.2</v>
      </c>
      <c r="C17" s="12" t="s">
        <v>38</v>
      </c>
      <c r="D17" s="2" t="s">
        <v>60</v>
      </c>
      <c r="E17" s="14" t="s">
        <v>32</v>
      </c>
    </row>
    <row r="18" customFormat="false" ht="26.85" hidden="false" customHeight="false" outlineLevel="0" collapsed="false">
      <c r="A18" s="12" t="s">
        <v>61</v>
      </c>
      <c r="B18" s="18" t="n">
        <v>1440</v>
      </c>
      <c r="C18" s="12" t="s">
        <v>54</v>
      </c>
      <c r="D18" s="2" t="s">
        <v>62</v>
      </c>
      <c r="E18" s="15" t="s">
        <v>36</v>
      </c>
    </row>
    <row r="19" customFormat="false" ht="26.85" hidden="false" customHeight="false" outlineLevel="0" collapsed="false">
      <c r="A19" s="12" t="s">
        <v>63</v>
      </c>
      <c r="B19" s="18" t="n">
        <v>70</v>
      </c>
      <c r="C19" s="12" t="s">
        <v>54</v>
      </c>
      <c r="D19" s="2" t="s">
        <v>64</v>
      </c>
      <c r="E19" s="15" t="s">
        <v>36</v>
      </c>
    </row>
    <row r="20" customFormat="false" ht="26.85" hidden="false" customHeight="false" outlineLevel="0" collapsed="false">
      <c r="A20" s="12" t="s">
        <v>65</v>
      </c>
      <c r="B20" s="16" t="n">
        <v>0.05</v>
      </c>
      <c r="C20" s="12" t="s">
        <v>38</v>
      </c>
      <c r="D20" s="2" t="s">
        <v>66</v>
      </c>
      <c r="E20" s="14" t="s">
        <v>32</v>
      </c>
    </row>
    <row r="21" customFormat="false" ht="26.85" hidden="false" customHeight="false" outlineLevel="0" collapsed="false">
      <c r="A21" s="12" t="s">
        <v>67</v>
      </c>
      <c r="B21" s="18" t="n">
        <v>13500</v>
      </c>
      <c r="C21" s="12" t="s">
        <v>68</v>
      </c>
      <c r="D21" s="2" t="s">
        <v>69</v>
      </c>
      <c r="E21" s="17" t="s">
        <v>40</v>
      </c>
    </row>
    <row r="22" customFormat="false" ht="15" hidden="false" customHeight="false" outlineLevel="0" collapsed="false">
      <c r="A22" s="10" t="s">
        <v>70</v>
      </c>
      <c r="B22" s="11"/>
      <c r="C22" s="11"/>
      <c r="D22" s="11"/>
      <c r="E22" s="11"/>
    </row>
    <row r="23" customFormat="false" ht="39.55" hidden="false" customHeight="false" outlineLevel="0" collapsed="false">
      <c r="A23" s="12" t="s">
        <v>71</v>
      </c>
      <c r="B23" s="16" t="n">
        <v>0.052</v>
      </c>
      <c r="C23" s="12" t="s">
        <v>38</v>
      </c>
      <c r="D23" s="2" t="s">
        <v>72</v>
      </c>
      <c r="E23" s="14" t="s">
        <v>32</v>
      </c>
    </row>
    <row r="24" customFormat="false" ht="15" hidden="false" customHeight="false" outlineLevel="0" collapsed="false">
      <c r="A24" s="12" t="s">
        <v>73</v>
      </c>
      <c r="B24" s="20" t="n">
        <v>12.4</v>
      </c>
      <c r="C24" s="12" t="s">
        <v>74</v>
      </c>
      <c r="D24" s="2" t="s">
        <v>75</v>
      </c>
      <c r="E24" s="14" t="s">
        <v>32</v>
      </c>
    </row>
    <row r="25" customFormat="false" ht="15" hidden="false" customHeight="false" outlineLevel="0" collapsed="false">
      <c r="A25" s="12" t="s">
        <v>76</v>
      </c>
      <c r="B25" s="16" t="n">
        <v>1</v>
      </c>
      <c r="C25" s="12" t="s">
        <v>38</v>
      </c>
      <c r="D25" s="2" t="s">
        <v>77</v>
      </c>
      <c r="E25" s="17" t="s">
        <v>40</v>
      </c>
    </row>
    <row r="26" customFormat="false" ht="15" hidden="false" customHeight="false" outlineLevel="0" collapsed="false">
      <c r="A26" s="10" t="s">
        <v>78</v>
      </c>
      <c r="B26" s="11"/>
      <c r="C26" s="11"/>
      <c r="D26" s="11"/>
      <c r="E26" s="11"/>
    </row>
    <row r="27" customFormat="false" ht="26.85" hidden="false" customHeight="false" outlineLevel="0" collapsed="false">
      <c r="A27" s="12" t="s">
        <v>79</v>
      </c>
      <c r="B27" s="18" t="n">
        <v>5500</v>
      </c>
      <c r="C27" s="12" t="s">
        <v>68</v>
      </c>
      <c r="D27" s="2" t="s">
        <v>80</v>
      </c>
      <c r="E27" s="15" t="s">
        <v>36</v>
      </c>
    </row>
    <row r="28" customFormat="false" ht="26.85" hidden="false" customHeight="false" outlineLevel="0" collapsed="false">
      <c r="A28" s="12" t="s">
        <v>81</v>
      </c>
      <c r="B28" s="16" t="n">
        <v>0.75</v>
      </c>
      <c r="C28" s="12" t="s">
        <v>38</v>
      </c>
      <c r="D28" s="2" t="s">
        <v>82</v>
      </c>
      <c r="E28" s="14"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26"/>
    <col collapsed="false" customWidth="true" hidden="false" outlineLevel="0" max="4" min="4" style="0" width="18"/>
  </cols>
  <sheetData>
    <row r="1" customFormat="false" ht="17.35" hidden="false" customHeight="false" outlineLevel="0" collapsed="false">
      <c r="A1" s="7" t="s">
        <v>83</v>
      </c>
    </row>
    <row r="2" customFormat="false" ht="15" hidden="false" customHeight="false" outlineLevel="0" collapsed="false">
      <c r="A2" s="8" t="s">
        <v>84</v>
      </c>
    </row>
    <row r="4" customFormat="false" ht="15" hidden="false" customHeight="false" outlineLevel="0" collapsed="false">
      <c r="A4" s="9" t="s">
        <v>85</v>
      </c>
      <c r="B4" s="9" t="s">
        <v>86</v>
      </c>
      <c r="C4" s="9" t="s">
        <v>87</v>
      </c>
      <c r="D4" s="9" t="s">
        <v>88</v>
      </c>
    </row>
    <row r="5" customFormat="false" ht="15" hidden="false" customHeight="false" outlineLevel="0" collapsed="false">
      <c r="A5" s="10" t="s">
        <v>89</v>
      </c>
      <c r="B5" s="11"/>
      <c r="C5" s="11"/>
      <c r="D5" s="11"/>
    </row>
    <row r="6" customFormat="false" ht="15" hidden="false" customHeight="false" outlineLevel="0" collapsed="false">
      <c r="A6" s="12" t="s">
        <v>29</v>
      </c>
      <c r="B6" s="21" t="n">
        <f aca="false">Inputs!$B$6</f>
        <v>150</v>
      </c>
      <c r="C6" s="21" t="n">
        <f aca="false">Inputs!$B$6</f>
        <v>150</v>
      </c>
    </row>
    <row r="7" customFormat="false" ht="15" hidden="false" customHeight="false" outlineLevel="0" collapsed="false">
      <c r="A7" s="12" t="s">
        <v>90</v>
      </c>
      <c r="B7" s="22" t="n">
        <f aca="false">0</f>
        <v>0</v>
      </c>
      <c r="C7" s="22" t="n">
        <f aca="false">ROUND(Inputs!$B$6*Inputs!$B$17,0)</f>
        <v>30</v>
      </c>
      <c r="D7" s="22" t="n">
        <f aca="false">C7-B7</f>
        <v>30</v>
      </c>
    </row>
    <row r="8" customFormat="false" ht="15" hidden="false" customHeight="false" outlineLevel="0" collapsed="false">
      <c r="A8" s="12" t="s">
        <v>91</v>
      </c>
      <c r="B8" s="22" t="n">
        <f aca="false">B6-B7</f>
        <v>150</v>
      </c>
      <c r="C8" s="22" t="n">
        <f aca="false">C6-C7</f>
        <v>120</v>
      </c>
      <c r="D8" s="22" t="n">
        <f aca="false">C8-B8</f>
        <v>-30</v>
      </c>
    </row>
    <row r="9" customFormat="false" ht="15" hidden="false" customHeight="false" outlineLevel="0" collapsed="false">
      <c r="A9" s="12" t="s">
        <v>92</v>
      </c>
      <c r="B9" s="21" t="n">
        <f aca="false">Inputs!$B$6*Inputs!$B$7</f>
        <v>96000</v>
      </c>
      <c r="C9" s="21" t="n">
        <f aca="false">Inputs!$B$6*Inputs!$B$7</f>
        <v>96000</v>
      </c>
    </row>
    <row r="10" customFormat="false" ht="15" hidden="false" customHeight="false" outlineLevel="0" collapsed="false">
      <c r="A10" s="12" t="s">
        <v>93</v>
      </c>
      <c r="B10" s="22" t="n">
        <f aca="false">IFERROR(B9/Inputs!$B$8,0)</f>
        <v>112941.176470588</v>
      </c>
      <c r="C10" s="22" t="n">
        <f aca="false">IFERROR(C9/Inputs!$B$8,0)</f>
        <v>112941.176470588</v>
      </c>
    </row>
    <row r="11" customFormat="false" ht="15" hidden="false" customHeight="false" outlineLevel="0" collapsed="false">
      <c r="A11" s="10" t="s">
        <v>94</v>
      </c>
      <c r="B11" s="11"/>
      <c r="C11" s="11"/>
      <c r="D11" s="11"/>
    </row>
    <row r="12" customFormat="false" ht="15" hidden="false" customHeight="false" outlineLevel="0" collapsed="false">
      <c r="A12" s="12" t="s">
        <v>95</v>
      </c>
      <c r="B12" s="23" t="n">
        <f aca="false">Inputs!$B$10</f>
        <v>9400000</v>
      </c>
      <c r="C12" s="23" t="n">
        <f aca="false">Inputs!$B$10</f>
        <v>9400000</v>
      </c>
    </row>
    <row r="13" customFormat="false" ht="15" hidden="false" customHeight="false" outlineLevel="0" collapsed="false">
      <c r="A13" s="12" t="s">
        <v>96</v>
      </c>
      <c r="B13" s="24" t="n">
        <f aca="false">B10*Inputs!$B$11</f>
        <v>50823529.4117647</v>
      </c>
      <c r="C13" s="24" t="n">
        <f aca="false">C10*Inputs!$B$11</f>
        <v>50823529.4117647</v>
      </c>
    </row>
    <row r="14" customFormat="false" ht="15" hidden="false" customHeight="false" outlineLevel="0" collapsed="false">
      <c r="A14" s="12" t="s">
        <v>97</v>
      </c>
      <c r="B14" s="24" t="n">
        <f aca="false">B13*Inputs!$B$12</f>
        <v>12705882.3529412</v>
      </c>
      <c r="C14" s="24" t="n">
        <f aca="false">C13*Inputs!$B$12</f>
        <v>12705882.3529412</v>
      </c>
    </row>
    <row r="15" customFormat="false" ht="15" hidden="false" customHeight="false" outlineLevel="0" collapsed="false">
      <c r="A15" s="12" t="s">
        <v>98</v>
      </c>
      <c r="B15" s="24" t="n">
        <f aca="false">(B13+B14)*Inputs!$B$13</f>
        <v>6352941.17647059</v>
      </c>
      <c r="C15" s="24" t="n">
        <f aca="false">(C13+C14)*Inputs!$B$13</f>
        <v>6352941.17647059</v>
      </c>
    </row>
    <row r="16" customFormat="false" ht="15" hidden="false" customHeight="false" outlineLevel="0" collapsed="false">
      <c r="A16" s="25" t="s">
        <v>99</v>
      </c>
      <c r="B16" s="26" t="n">
        <f aca="false">SUM(B12:B15)</f>
        <v>79282352.9411765</v>
      </c>
      <c r="C16" s="26" t="n">
        <f aca="false">SUM(C12:C15)</f>
        <v>79282352.9411765</v>
      </c>
      <c r="D16" s="27"/>
    </row>
    <row r="17" customFormat="false" ht="15" hidden="false" customHeight="false" outlineLevel="0" collapsed="false">
      <c r="A17" s="12" t="s">
        <v>100</v>
      </c>
      <c r="B17" s="24" t="n">
        <f aca="false">IFERROR(B16/B6,0)</f>
        <v>528549.019607843</v>
      </c>
      <c r="C17" s="24" t="n">
        <f aca="false">IFERROR(C16/C6,0)</f>
        <v>528549.019607843</v>
      </c>
    </row>
    <row r="18" customFormat="false" ht="15" hidden="false" customHeight="false" outlineLevel="0" collapsed="false">
      <c r="A18" s="10" t="s">
        <v>101</v>
      </c>
      <c r="B18" s="11"/>
      <c r="C18" s="11"/>
      <c r="D18" s="11"/>
    </row>
    <row r="19" customFormat="false" ht="15" hidden="false" customHeight="false" outlineLevel="0" collapsed="false">
      <c r="A19" s="12" t="s">
        <v>102</v>
      </c>
      <c r="B19" s="24" t="n">
        <f aca="false">(B8*Inputs!$B$15+B7*Inputs!$B$18)*12</f>
        <v>6975000</v>
      </c>
      <c r="C19" s="24" t="n">
        <f aca="false">(C8*Inputs!$B$15+C7*Inputs!$B$18)*12</f>
        <v>6098400</v>
      </c>
      <c r="D19" s="24" t="n">
        <f aca="false">C19-B19</f>
        <v>-876600</v>
      </c>
    </row>
    <row r="20" customFormat="false" ht="15" hidden="false" customHeight="false" outlineLevel="0" collapsed="false">
      <c r="A20" s="12" t="s">
        <v>103</v>
      </c>
      <c r="B20" s="24" t="n">
        <f aca="false">-B8*Inputs!$B$15*Inputs!$B$16</f>
        <v>-581250</v>
      </c>
      <c r="C20" s="24" t="n">
        <f aca="false">-C8*Inputs!$B$15*Inputs!$B$16</f>
        <v>-465000</v>
      </c>
      <c r="D20" s="24" t="n">
        <f aca="false">C20-B20</f>
        <v>116250</v>
      </c>
    </row>
    <row r="21" customFormat="false" ht="15" hidden="false" customHeight="false" outlineLevel="0" collapsed="false">
      <c r="A21" s="12" t="s">
        <v>104</v>
      </c>
      <c r="B21" s="24" t="n">
        <f aca="false">B6*Inputs!$B$19*12</f>
        <v>126000</v>
      </c>
      <c r="C21" s="24" t="n">
        <f aca="false">C6*Inputs!$B$19*12</f>
        <v>126000</v>
      </c>
    </row>
    <row r="22" customFormat="false" ht="15" hidden="false" customHeight="false" outlineLevel="0" collapsed="false">
      <c r="A22" s="12" t="s">
        <v>105</v>
      </c>
      <c r="B22" s="24" t="n">
        <f aca="false">-(B19+B20+B21)*Inputs!$B$20</f>
        <v>-325987.5</v>
      </c>
      <c r="C22" s="24" t="n">
        <f aca="false">-(C19+C20+C21)*Inputs!$B$20</f>
        <v>-287970</v>
      </c>
      <c r="D22" s="24" t="n">
        <f aca="false">C22-B22</f>
        <v>38017.5</v>
      </c>
    </row>
    <row r="23" customFormat="false" ht="15" hidden="false" customHeight="false" outlineLevel="0" collapsed="false">
      <c r="A23" s="25" t="s">
        <v>106</v>
      </c>
      <c r="B23" s="26" t="n">
        <f aca="false">SUM(B19:B22)</f>
        <v>6193762.5</v>
      </c>
      <c r="C23" s="26" t="n">
        <f aca="false">SUM(C19:C22)</f>
        <v>5471430</v>
      </c>
      <c r="D23" s="26" t="n">
        <f aca="false">C23-B23</f>
        <v>-722332.5</v>
      </c>
    </row>
    <row r="24" customFormat="false" ht="15" hidden="false" customHeight="false" outlineLevel="0" collapsed="false">
      <c r="A24" s="12" t="s">
        <v>107</v>
      </c>
      <c r="B24" s="24" t="n">
        <f aca="false">-B6*Inputs!$B$21</f>
        <v>-2025000</v>
      </c>
      <c r="C24" s="24" t="n">
        <f aca="false">-C6*Inputs!$B$21</f>
        <v>-2025000</v>
      </c>
    </row>
    <row r="25" customFormat="false" ht="15" hidden="false" customHeight="false" outlineLevel="0" collapsed="false">
      <c r="A25" s="25" t="s">
        <v>108</v>
      </c>
      <c r="B25" s="26" t="n">
        <f aca="false">B23+B24</f>
        <v>4168762.5</v>
      </c>
      <c r="C25" s="26" t="n">
        <f aca="false">C23+C24</f>
        <v>3446430</v>
      </c>
      <c r="D25" s="26" t="n">
        <f aca="false">C25-B25</f>
        <v>-722332.5</v>
      </c>
    </row>
    <row r="26" customFormat="false" ht="15" hidden="false" customHeight="false" outlineLevel="0" collapsed="false">
      <c r="A26" s="10" t="s">
        <v>109</v>
      </c>
      <c r="B26" s="11"/>
      <c r="C26" s="11"/>
      <c r="D26" s="11"/>
    </row>
    <row r="27" customFormat="false" ht="15" hidden="false" customHeight="false" outlineLevel="0" collapsed="false">
      <c r="A27" s="25" t="s">
        <v>110</v>
      </c>
      <c r="B27" s="28" t="n">
        <f aca="false">IFERROR(B25/B16,0)</f>
        <v>0.0525812156848197</v>
      </c>
      <c r="C27" s="28" t="n">
        <f aca="false">IFERROR(C25/C16,0)</f>
        <v>0.0434703294257308</v>
      </c>
      <c r="D27" s="28" t="n">
        <f aca="false">C27-B27</f>
        <v>-0.00911088625908888</v>
      </c>
    </row>
    <row r="28" customFormat="false" ht="15" hidden="false" customHeight="false" outlineLevel="0" collapsed="false">
      <c r="A28" s="12" t="s">
        <v>111</v>
      </c>
      <c r="B28" s="29" t="n">
        <f aca="false">Inputs!$B$23</f>
        <v>0.052</v>
      </c>
      <c r="C28" s="29" t="n">
        <f aca="false">Inputs!$B$23</f>
        <v>0.052</v>
      </c>
    </row>
    <row r="29" customFormat="false" ht="15" hidden="false" customHeight="false" outlineLevel="0" collapsed="false">
      <c r="A29" s="12" t="s">
        <v>112</v>
      </c>
      <c r="B29" s="30" t="n">
        <f aca="false">B27-B28</f>
        <v>0.000581215684819704</v>
      </c>
      <c r="C29" s="30" t="n">
        <f aca="false">C27-C28</f>
        <v>-0.00852967057426918</v>
      </c>
      <c r="D29" s="30" t="n">
        <f aca="false">C29-B29</f>
        <v>-0.00911088625908888</v>
      </c>
    </row>
    <row r="30" customFormat="false" ht="15" hidden="false" customHeight="false" outlineLevel="0" collapsed="false">
      <c r="A30" s="12" t="s">
        <v>113</v>
      </c>
      <c r="B30" s="24" t="n">
        <f aca="false">IFERROR(B25/B28,0)</f>
        <v>80168509.6153846</v>
      </c>
      <c r="C30" s="24" t="n">
        <f aca="false">IFERROR(C25/C28,0)</f>
        <v>66277500</v>
      </c>
      <c r="D30" s="24" t="n">
        <f aca="false">C30-B30</f>
        <v>-13891009.6153846</v>
      </c>
    </row>
    <row r="31" customFormat="false" ht="15" hidden="false" customHeight="false" outlineLevel="0" collapsed="false">
      <c r="A31" s="12" t="s">
        <v>114</v>
      </c>
      <c r="B31" s="24" t="n">
        <f aca="false">B30-B16</f>
        <v>886156.674208149</v>
      </c>
      <c r="C31" s="24" t="n">
        <f aca="false">C30-C16</f>
        <v>-13004852.9411765</v>
      </c>
      <c r="D31" s="24" t="n">
        <f aca="false">C31-B31</f>
        <v>-13891009.6153846</v>
      </c>
    </row>
    <row r="32" customFormat="false" ht="15" hidden="false" customHeight="false" outlineLevel="0" collapsed="false">
      <c r="A32" s="12" t="s">
        <v>115</v>
      </c>
      <c r="B32" s="31" t="n">
        <f aca="false">IFERROR(B31/B16,0)</f>
        <v>0.0111772247080713</v>
      </c>
      <c r="C32" s="31" t="n">
        <f aca="false">IFERROR(C31/C16,0)</f>
        <v>-0.164032126428254</v>
      </c>
      <c r="D32" s="31" t="n">
        <f aca="false">C32-B32</f>
        <v>-0.175209351136325</v>
      </c>
    </row>
    <row r="33" customFormat="false" ht="15" hidden="false" customHeight="false" outlineLevel="0" collapsed="false">
      <c r="A33" s="10" t="s">
        <v>116</v>
      </c>
      <c r="B33" s="11"/>
      <c r="C33" s="11"/>
      <c r="D33" s="11"/>
    </row>
    <row r="34" customFormat="false" ht="15" hidden="false" customHeight="false" outlineLevel="0" collapsed="false">
      <c r="A34" s="25" t="s">
        <v>117</v>
      </c>
      <c r="B34" s="26" t="n">
        <f aca="false">B30*Inputs!$B$25*Inputs!$B$24/1000</f>
        <v>994089.519230769</v>
      </c>
      <c r="C34" s="26" t="n">
        <f aca="false">C30*Inputs!$B$25*Inputs!$B$24/1000</f>
        <v>821841</v>
      </c>
      <c r="D34" s="26" t="n">
        <f aca="false">C34-B34</f>
        <v>-172248.519230769</v>
      </c>
    </row>
    <row r="35" customFormat="false" ht="15" hidden="false" customHeight="false" outlineLevel="0" collapsed="false">
      <c r="A35" s="12" t="s">
        <v>118</v>
      </c>
      <c r="B35" s="22" t="n">
        <f aca="false">B7</f>
        <v>0</v>
      </c>
      <c r="C35" s="22" t="n">
        <f aca="false">C7</f>
        <v>30</v>
      </c>
      <c r="D35" s="22" t="n">
        <f aca="false">C35-B35</f>
        <v>30</v>
      </c>
    </row>
    <row r="36" customFormat="false" ht="15" hidden="false" customHeight="false" outlineLevel="0" collapsed="false">
      <c r="A36" s="12" t="s">
        <v>119</v>
      </c>
      <c r="B36" s="24" t="n">
        <f aca="false">MAX(0,-B31)</f>
        <v>0</v>
      </c>
      <c r="C36" s="24" t="n">
        <f aca="false">MAX(0,-C31)</f>
        <v>13004852.9411765</v>
      </c>
      <c r="D36" s="24" t="n">
        <f aca="false">C36-B36</f>
        <v>13004852.9411765</v>
      </c>
    </row>
    <row r="37" customFormat="false" ht="15" hidden="false" customHeight="false" outlineLevel="0" collapsed="false">
      <c r="A37" s="12" t="s">
        <v>120</v>
      </c>
      <c r="B37" s="24" t="n">
        <f aca="false">0</f>
        <v>0</v>
      </c>
      <c r="C37" s="24" t="n">
        <f aca="false">IFERROR(C36/C7,0)</f>
        <v>433495.098039216</v>
      </c>
    </row>
    <row r="39" customFormat="false" ht="15" hidden="false" customHeight="false" outlineLevel="0" collapsed="false">
      <c r="A39" s="32" t="s">
        <v>121</v>
      </c>
    </row>
    <row r="40" customFormat="false" ht="60" hidden="false" customHeight="true" outlineLevel="0" collapsed="false">
      <c r="A40" s="33" t="str">
        <f aca="false">"As all market-rate, yield on cost is "&amp;TEXT(B27,"0.0%")&amp;" vs. a "&amp;TEXT(B28,"0.0%")&amp;" cap rate. Under Inclusionary Zoning ("&amp;TEXT(C7,"0")&amp;" affordable units), it falls to "&amp;TEXT(C27,"0.0%")&amp;", leaving a gap of about "&amp;TEXT(C36,"$#,##0")&amp;" ("&amp;TEXT(C37,"$#,##0")&amp;" per affordable unit). The building would still pay about "&amp;TEXT(C34,"$#,##0")&amp;" a year in property tax."</f>
        <v>As all market-rate, yield on cost is 5.3% vs. a 5.2% cap rate. Under Inclusionary Zoning (30 affordable units), it falls to 4.3%, leaving a gap of about $13,004,853 ($433,495 per affordable unit). The building would still pay about $821,841 a year in property tax.</v>
      </c>
      <c r="B40" s="33"/>
      <c r="C40" s="33"/>
      <c r="D40" s="33"/>
    </row>
  </sheetData>
  <mergeCells count="1">
    <mergeCell ref="A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6"/>
    <col collapsed="false" customWidth="true" hidden="false" outlineLevel="0" max="4" min="4" style="0" width="12"/>
  </cols>
  <sheetData>
    <row r="1" customFormat="false" ht="17.35" hidden="false" customHeight="false" outlineLevel="0" collapsed="false">
      <c r="A1" s="7" t="s">
        <v>122</v>
      </c>
    </row>
    <row r="2" customFormat="false" ht="15" hidden="false" customHeight="false" outlineLevel="0" collapsed="false">
      <c r="A2" s="8" t="s">
        <v>123</v>
      </c>
    </row>
    <row r="4" customFormat="false" ht="15" hidden="false" customHeight="false" outlineLevel="0" collapsed="false">
      <c r="A4" s="9" t="s">
        <v>124</v>
      </c>
      <c r="B4" s="9" t="s">
        <v>125</v>
      </c>
      <c r="C4" s="9" t="s">
        <v>126</v>
      </c>
      <c r="D4" s="9" t="s">
        <v>127</v>
      </c>
    </row>
    <row r="5" customFormat="false" ht="15" hidden="false" customHeight="false" outlineLevel="0" collapsed="false">
      <c r="A5" s="34" t="n">
        <v>-0.1</v>
      </c>
      <c r="B5" s="29" t="n">
        <f aca="false">IFERROR((('Pro Forma'!B8*Inputs!$B$15*(1+$A5)*(12-Inputs!$B$16)+'Pro Forma'!B7*Inputs!$B$18*12+'Pro Forma'!B21)*(1-Inputs!$B$20)+'Pro Forma'!B24)/'Pro Forma'!B16,0)</f>
        <v>0.0449199111515062</v>
      </c>
      <c r="C5" s="29" t="n">
        <f aca="false">IFERROR((('Pro Forma'!C8*Inputs!$B$15*(1+$A5)*(12-Inputs!$B$16)+'Pro Forma'!C7*Inputs!$B$18*12+'Pro Forma'!C21)*(1-Inputs!$B$20)+'Pro Forma'!C24)/'Pro Forma'!C16,0)</f>
        <v>0.03734128579908</v>
      </c>
      <c r="D5" s="29" t="n">
        <f aca="false">Inputs!$B$23</f>
        <v>0.052</v>
      </c>
    </row>
    <row r="6" customFormat="false" ht="15" hidden="false" customHeight="false" outlineLevel="0" collapsed="false">
      <c r="A6" s="34" t="n">
        <v>-0.05</v>
      </c>
      <c r="B6" s="29" t="n">
        <f aca="false">IFERROR((('Pro Forma'!B8*Inputs!$B$15*(1+$A6)*(12-Inputs!$B$16)+'Pro Forma'!B7*Inputs!$B$18*12+'Pro Forma'!B21)*(1-Inputs!$B$20)+'Pro Forma'!B24)/'Pro Forma'!B16,0)</f>
        <v>0.0487505634181629</v>
      </c>
      <c r="C6" s="29" t="n">
        <f aca="false">IFERROR((('Pro Forma'!C8*Inputs!$B$15*(1+$A6)*(12-Inputs!$B$16)+'Pro Forma'!C7*Inputs!$B$18*12+'Pro Forma'!C21)*(1-Inputs!$B$20)+'Pro Forma'!C24)/'Pro Forma'!C16,0)</f>
        <v>0.0404058076124054</v>
      </c>
      <c r="D6" s="29" t="n">
        <f aca="false">Inputs!$B$23</f>
        <v>0.052</v>
      </c>
    </row>
    <row r="7" customFormat="false" ht="15" hidden="false" customHeight="false" outlineLevel="0" collapsed="false">
      <c r="A7" s="34" t="n">
        <v>0</v>
      </c>
      <c r="B7" s="29" t="n">
        <f aca="false">IFERROR((('Pro Forma'!B8*Inputs!$B$15*(1+$A7)*(12-Inputs!$B$16)+'Pro Forma'!B7*Inputs!$B$18*12+'Pro Forma'!B21)*(1-Inputs!$B$20)+'Pro Forma'!B24)/'Pro Forma'!B16,0)</f>
        <v>0.0525812156848197</v>
      </c>
      <c r="C7" s="29" t="n">
        <f aca="false">IFERROR((('Pro Forma'!C8*Inputs!$B$15*(1+$A7)*(12-Inputs!$B$16)+'Pro Forma'!C7*Inputs!$B$18*12+'Pro Forma'!C21)*(1-Inputs!$B$20)+'Pro Forma'!C24)/'Pro Forma'!C16,0)</f>
        <v>0.0434703294257308</v>
      </c>
      <c r="D7" s="29" t="n">
        <f aca="false">Inputs!$B$23</f>
        <v>0.052</v>
      </c>
    </row>
    <row r="8" customFormat="false" ht="15" hidden="false" customHeight="false" outlineLevel="0" collapsed="false">
      <c r="A8" s="34" t="n">
        <v>0.05</v>
      </c>
      <c r="B8" s="29" t="n">
        <f aca="false">IFERROR((('Pro Forma'!B8*Inputs!$B$15*(1+$A8)*(12-Inputs!$B$16)+'Pro Forma'!B7*Inputs!$B$18*12+'Pro Forma'!B21)*(1-Inputs!$B$20)+'Pro Forma'!B24)/'Pro Forma'!B16,0)</f>
        <v>0.0564118679514765</v>
      </c>
      <c r="C8" s="29" t="n">
        <f aca="false">IFERROR((('Pro Forma'!C8*Inputs!$B$15*(1+$A8)*(12-Inputs!$B$16)+'Pro Forma'!C7*Inputs!$B$18*12+'Pro Forma'!C21)*(1-Inputs!$B$20)+'Pro Forma'!C24)/'Pro Forma'!C16,0)</f>
        <v>0.0465348512390562</v>
      </c>
      <c r="D8" s="29" t="n">
        <f aca="false">Inputs!$B$23</f>
        <v>0.052</v>
      </c>
    </row>
    <row r="9" customFormat="false" ht="15" hidden="false" customHeight="false" outlineLevel="0" collapsed="false">
      <c r="A9" s="34" t="n">
        <v>0.1</v>
      </c>
      <c r="B9" s="29" t="n">
        <f aca="false">IFERROR((('Pro Forma'!B8*Inputs!$B$15*(1+$A9)*(12-Inputs!$B$16)+'Pro Forma'!B7*Inputs!$B$18*12+'Pro Forma'!B21)*(1-Inputs!$B$20)+'Pro Forma'!B24)/'Pro Forma'!B16,0)</f>
        <v>0.0602425202181333</v>
      </c>
      <c r="C9" s="29" t="n">
        <f aca="false">IFERROR((('Pro Forma'!C8*Inputs!$B$15*(1+$A9)*(12-Inputs!$B$16)+'Pro Forma'!C7*Inputs!$B$18*12+'Pro Forma'!C21)*(1-Inputs!$B$20)+'Pro Forma'!C24)/'Pro Forma'!C16,0)</f>
        <v>0.0495993730523817</v>
      </c>
      <c r="D9" s="29" t="n">
        <f aca="false">Inputs!$B$23</f>
        <v>0.052</v>
      </c>
    </row>
    <row r="11" customFormat="false" ht="15" hidden="false" customHeight="false" outlineLevel="0" collapsed="false">
      <c r="A11" s="8"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4"/>
    <col collapsed="false" customWidth="true" hidden="false" outlineLevel="0" max="4" min="4" style="0" width="18"/>
  </cols>
  <sheetData>
    <row r="1" customFormat="false" ht="17.35" hidden="false" customHeight="false" outlineLevel="0" collapsed="false">
      <c r="A1" s="7" t="s">
        <v>129</v>
      </c>
    </row>
    <row r="2" customFormat="false" ht="15" hidden="false" customHeight="false" outlineLevel="0" collapsed="false">
      <c r="A2" s="8" t="s">
        <v>130</v>
      </c>
    </row>
    <row r="4" customFormat="false" ht="15" hidden="false" customHeight="false" outlineLevel="0" collapsed="false">
      <c r="A4" s="9" t="s">
        <v>85</v>
      </c>
      <c r="B4" s="9" t="s">
        <v>131</v>
      </c>
      <c r="C4" s="9" t="s">
        <v>132</v>
      </c>
      <c r="D4" s="9" t="s">
        <v>88</v>
      </c>
    </row>
    <row r="5" customFormat="false" ht="15" hidden="false" customHeight="false" outlineLevel="0" collapsed="false">
      <c r="A5" s="12" t="s">
        <v>133</v>
      </c>
      <c r="B5" s="23" t="n">
        <f aca="false">'Pro Forma'!C6*Inputs!$B$27</f>
        <v>825000</v>
      </c>
      <c r="C5" s="23" t="n">
        <f aca="false">'Pro Forma'!C6*Inputs!$B$27</f>
        <v>825000</v>
      </c>
    </row>
    <row r="6" customFormat="false" ht="15" hidden="false" customHeight="false" outlineLevel="0" collapsed="false">
      <c r="A6" s="12" t="s">
        <v>134</v>
      </c>
      <c r="B6" s="24" t="n">
        <f aca="false">0</f>
        <v>0</v>
      </c>
      <c r="C6" s="24" t="n">
        <f aca="false">C5*Inputs!$B$28</f>
        <v>618750</v>
      </c>
      <c r="D6" s="24" t="n">
        <f aca="false">C6-B6</f>
        <v>618750</v>
      </c>
    </row>
    <row r="7" customFormat="false" ht="15" hidden="false" customHeight="false" outlineLevel="0" collapsed="false">
      <c r="A7" s="25" t="s">
        <v>108</v>
      </c>
      <c r="B7" s="35" t="n">
        <f aca="false">'Pro Forma'!C25</f>
        <v>3446430</v>
      </c>
      <c r="C7" s="35" t="n">
        <f aca="false">'Pro Forma'!C25+C6</f>
        <v>4065180</v>
      </c>
      <c r="D7" s="26" t="n">
        <f aca="false">C7-B7</f>
        <v>618750</v>
      </c>
    </row>
    <row r="8" customFormat="false" ht="15" hidden="false" customHeight="false" outlineLevel="0" collapsed="false">
      <c r="A8" s="12" t="s">
        <v>99</v>
      </c>
      <c r="B8" s="23" t="n">
        <f aca="false">'Pro Forma'!C16</f>
        <v>79282352.9411765</v>
      </c>
      <c r="C8" s="23" t="n">
        <f aca="false">'Pro Forma'!C16</f>
        <v>79282352.9411765</v>
      </c>
    </row>
    <row r="9" customFormat="false" ht="15" hidden="false" customHeight="false" outlineLevel="0" collapsed="false">
      <c r="A9" s="25" t="s">
        <v>135</v>
      </c>
      <c r="B9" s="28" t="n">
        <f aca="false">IFERROR(B7/B8,0)</f>
        <v>0.0434703294257308</v>
      </c>
      <c r="C9" s="28" t="n">
        <f aca="false">IFERROR(C7/C8,0)</f>
        <v>0.05127471434931</v>
      </c>
      <c r="D9" s="28" t="n">
        <f aca="false">C9-B9</f>
        <v>0.00780438492357916</v>
      </c>
    </row>
    <row r="10" customFormat="false" ht="15" hidden="false" customHeight="false" outlineLevel="0" collapsed="false">
      <c r="A10" s="12" t="s">
        <v>111</v>
      </c>
      <c r="B10" s="29" t="n">
        <f aca="false">Inputs!$B$23</f>
        <v>0.052</v>
      </c>
      <c r="C10" s="29" t="n">
        <f aca="false">Inputs!$B$23</f>
        <v>0.052</v>
      </c>
    </row>
    <row r="11" customFormat="false" ht="15" hidden="false" customHeight="false" outlineLevel="0" collapsed="false">
      <c r="A11" s="12" t="s">
        <v>136</v>
      </c>
      <c r="B11" s="24" t="n">
        <f aca="false">IFERROR(B7/B10,0)</f>
        <v>66277500</v>
      </c>
      <c r="C11" s="24" t="n">
        <f aca="false">IFERROR(C7/C10,0)</f>
        <v>78176538.4615385</v>
      </c>
      <c r="D11" s="24" t="n">
        <f aca="false">C11-B11</f>
        <v>11899038.4615385</v>
      </c>
    </row>
    <row r="12" customFormat="false" ht="15" hidden="false" customHeight="false" outlineLevel="0" collapsed="false">
      <c r="A12" s="25" t="s">
        <v>137</v>
      </c>
      <c r="B12" s="26" t="n">
        <f aca="false">B11-B8</f>
        <v>-13004852.9411765</v>
      </c>
      <c r="C12" s="26" t="n">
        <f aca="false">C11-C8</f>
        <v>-1105814.47963801</v>
      </c>
      <c r="D12" s="26" t="n">
        <f aca="false">C12-B12</f>
        <v>11899038.4615385</v>
      </c>
    </row>
    <row r="13" customFormat="false" ht="15" hidden="false" customHeight="false" outlineLevel="0" collapsed="false">
      <c r="A13" s="12" t="s">
        <v>138</v>
      </c>
      <c r="B13" s="24" t="n">
        <f aca="false">MAX(0,-B12)</f>
        <v>13004852.9411765</v>
      </c>
      <c r="C13" s="24" t="n">
        <f aca="false">MAX(0,-C12)</f>
        <v>1105814.47963801</v>
      </c>
      <c r="D13" s="24" t="n">
        <f aca="false">C13-B13</f>
        <v>-11899038.4615385</v>
      </c>
    </row>
    <row r="15" customFormat="false" ht="15" hidden="false" customHeight="false" outlineLevel="0" collapsed="false">
      <c r="A15" s="10" t="s">
        <v>139</v>
      </c>
      <c r="B15" s="11"/>
      <c r="C15" s="11"/>
      <c r="D15" s="11"/>
    </row>
    <row r="16" customFormat="false" ht="15" hidden="false" customHeight="false" outlineLevel="0" collapsed="false">
      <c r="A16" s="12" t="s">
        <v>140</v>
      </c>
      <c r="B16" s="31" t="n">
        <f aca="false">IFERROR(1-C13/B13,0)</f>
        <v>0.914969090028174</v>
      </c>
    </row>
    <row r="17" customFormat="false" ht="15" hidden="false" customHeight="false" outlineLevel="0" collapsed="false">
      <c r="A17" s="12" t="s">
        <v>141</v>
      </c>
      <c r="B17" s="24" t="n">
        <f aca="false">C6</f>
        <v>618750</v>
      </c>
    </row>
    <row r="18" customFormat="false" ht="15" hidden="false" customHeight="false" outlineLevel="0" collapsed="false">
      <c r="A18" s="12" t="s">
        <v>118</v>
      </c>
      <c r="B18" s="21" t="n">
        <f aca="false">'Pro Forma'!C7</f>
        <v>30</v>
      </c>
    </row>
    <row r="19" customFormat="false" ht="15" hidden="false" customHeight="false" outlineLevel="0" collapsed="false">
      <c r="A19" s="12" t="s">
        <v>142</v>
      </c>
      <c r="B19" s="24" t="n">
        <f aca="false">IFERROR(C6/B18,0)</f>
        <v>20625</v>
      </c>
    </row>
    <row r="20" customFormat="false" ht="15" hidden="false" customHeight="false" outlineLevel="0" collapsed="false">
      <c r="A20" s="12" t="s">
        <v>143</v>
      </c>
      <c r="B20" s="31" t="n">
        <f aca="false">IFERROR(MIN(1,B13*B10/B5),0)</f>
        <v>0.819699821746881</v>
      </c>
    </row>
    <row r="22" customFormat="false" ht="15" hidden="false" customHeight="false" outlineLevel="0" collapsed="false">
      <c r="A22" s="32" t="s">
        <v>144</v>
      </c>
    </row>
    <row r="23" customFormat="false" ht="15" hidden="false" customHeight="false" outlineLevel="0" collapsed="false">
      <c r="A23" s="9" t="s">
        <v>145</v>
      </c>
      <c r="B23" s="9" t="s">
        <v>135</v>
      </c>
      <c r="C23" s="9" t="s">
        <v>146</v>
      </c>
      <c r="D23" s="9" t="s">
        <v>147</v>
      </c>
    </row>
    <row r="24" customFormat="false" ht="15" hidden="false" customHeight="false" outlineLevel="0" collapsed="false">
      <c r="A24" s="36" t="n">
        <v>0</v>
      </c>
      <c r="B24" s="37" t="n">
        <f aca="false">IFERROR(($B$7+$B$5*A24)/$B$8,0)</f>
        <v>0.0434703294257308</v>
      </c>
      <c r="C24" s="38" t="n">
        <f aca="false">IFERROR(($B$7+$B$5*A24)/$B$10-$B$8,0)</f>
        <v>-13004852.9411765</v>
      </c>
      <c r="D24" s="38" t="n">
        <f aca="false">$B$5*A24</f>
        <v>0</v>
      </c>
    </row>
    <row r="25" customFormat="false" ht="15" hidden="false" customHeight="false" outlineLevel="0" collapsed="false">
      <c r="A25" s="36" t="n">
        <v>0.25</v>
      </c>
      <c r="B25" s="37" t="n">
        <f aca="false">IFERROR(($B$7+$B$5*A25)/$B$8,0)</f>
        <v>0.0460717910669239</v>
      </c>
      <c r="C25" s="38" t="n">
        <f aca="false">IFERROR(($B$7+$B$5*A25)/$B$10-$B$8,0)</f>
        <v>-9038506.78733032</v>
      </c>
      <c r="D25" s="38" t="n">
        <f aca="false">$B$5*A25</f>
        <v>206250</v>
      </c>
    </row>
    <row r="26" customFormat="false" ht="15" hidden="false" customHeight="false" outlineLevel="0" collapsed="false">
      <c r="A26" s="36" t="n">
        <v>0.5</v>
      </c>
      <c r="B26" s="37" t="n">
        <f aca="false">IFERROR(($B$7+$B$5*A26)/$B$8,0)</f>
        <v>0.0486732527081169</v>
      </c>
      <c r="C26" s="38" t="n">
        <f aca="false">IFERROR(($B$7+$B$5*A26)/$B$10-$B$8,0)</f>
        <v>-5072160.63348417</v>
      </c>
      <c r="D26" s="38" t="n">
        <f aca="false">$B$5*A26</f>
        <v>412500</v>
      </c>
    </row>
    <row r="27" customFormat="false" ht="15" hidden="false" customHeight="false" outlineLevel="0" collapsed="false">
      <c r="A27" s="36" t="n">
        <v>0.75</v>
      </c>
      <c r="B27" s="37" t="n">
        <f aca="false">IFERROR(($B$7+$B$5*A27)/$B$8,0)</f>
        <v>0.05127471434931</v>
      </c>
      <c r="C27" s="38" t="n">
        <f aca="false">IFERROR(($B$7+$B$5*A27)/$B$10-$B$8,0)</f>
        <v>-1105814.47963801</v>
      </c>
      <c r="D27" s="38" t="n">
        <f aca="false">$B$5*A27</f>
        <v>618750</v>
      </c>
    </row>
    <row r="28" customFormat="false" ht="15" hidden="false" customHeight="false" outlineLevel="0" collapsed="false">
      <c r="A28" s="36" t="n">
        <v>1</v>
      </c>
      <c r="B28" s="37" t="n">
        <f aca="false">IFERROR(($B$7+$B$5*A28)/$B$8,0)</f>
        <v>0.053876175990503</v>
      </c>
      <c r="C28" s="38" t="n">
        <f aca="false">IFERROR(($B$7+$B$5*A28)/$B$10-$B$8,0)</f>
        <v>2860531.67420815</v>
      </c>
      <c r="D28" s="38" t="n">
        <f aca="false">$B$5*A28</f>
        <v>825000</v>
      </c>
    </row>
    <row r="30" customFormat="false" ht="48" hidden="false" customHeight="true" outlineLevel="0" collapsed="false">
      <c r="A30" s="33" t="str">
        <f aca="false">"A "&amp;TEXT(Inputs!$B$28,"0%")&amp;" abatement closes about "&amp;TEXT(B16,"0%")&amp;" of the inclusionary gap, costing the city about "&amp;TEXT(B17,"$#,##0")&amp;" a year in foregone property tax, or about "&amp;TEXT(B19,"$#,##0")&amp;" per affordable home per year. Full break-even needs about "&amp;TEXT(B20,"0%")&amp;"."</f>
        <v>A 75% abatement closes about 91% of the inclusionary gap, costing the city about $618,750 a year in foregone property tax, or about $20,625 per affordable home per year. Full break-even needs about 82%.</v>
      </c>
      <c r="B30" s="33"/>
      <c r="C30" s="33"/>
      <c r="D30" s="33"/>
    </row>
  </sheetData>
  <mergeCells count="1">
    <mergeCell ref="A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6"/>
    <col collapsed="false" customWidth="true" hidden="false" outlineLevel="0" max="4" min="4" style="0" width="56"/>
  </cols>
  <sheetData>
    <row r="1" customFormat="false" ht="17.35" hidden="false" customHeight="false" outlineLevel="0" collapsed="false">
      <c r="A1" s="7" t="s">
        <v>148</v>
      </c>
    </row>
    <row r="2" customFormat="false" ht="45" hidden="false" customHeight="true" outlineLevel="0" collapsed="false">
      <c r="A2" s="39" t="s">
        <v>149</v>
      </c>
      <c r="B2" s="39"/>
      <c r="C2" s="39"/>
      <c r="D2" s="39"/>
    </row>
    <row r="4" customFormat="false" ht="15" hidden="false" customHeight="false" outlineLevel="0" collapsed="false">
      <c r="A4" s="9" t="s">
        <v>150</v>
      </c>
      <c r="B4" s="9" t="s">
        <v>151</v>
      </c>
      <c r="C4" s="9" t="s">
        <v>152</v>
      </c>
      <c r="D4" s="9" t="s">
        <v>153</v>
      </c>
    </row>
    <row r="5" customFormat="false" ht="15" hidden="false" customHeight="false" outlineLevel="0" collapsed="false">
      <c r="A5" s="12" t="s">
        <v>154</v>
      </c>
      <c r="B5" s="40" t="n">
        <v>114374</v>
      </c>
      <c r="D5" s="41" t="s">
        <v>155</v>
      </c>
    </row>
    <row r="6" customFormat="false" ht="15" hidden="false" customHeight="false" outlineLevel="0" collapsed="false">
      <c r="A6" s="12" t="s">
        <v>156</v>
      </c>
      <c r="B6" s="42" t="n">
        <v>26.2</v>
      </c>
      <c r="C6" s="42" t="n">
        <v>40.1</v>
      </c>
      <c r="D6" s="41" t="s">
        <v>157</v>
      </c>
    </row>
    <row r="7" customFormat="false" ht="15" hidden="false" customHeight="false" outlineLevel="0" collapsed="false">
      <c r="A7" s="12" t="s">
        <v>158</v>
      </c>
      <c r="B7" s="43" t="n">
        <v>0.4</v>
      </c>
      <c r="D7" s="41" t="s">
        <v>159</v>
      </c>
    </row>
    <row r="8" customFormat="false" ht="15" hidden="false" customHeight="false" outlineLevel="0" collapsed="false">
      <c r="A8" s="12" t="s">
        <v>160</v>
      </c>
      <c r="B8" s="42" t="n">
        <v>1.9</v>
      </c>
      <c r="C8" s="42" t="n">
        <v>2.4</v>
      </c>
      <c r="D8" s="41" t="s">
        <v>161</v>
      </c>
    </row>
    <row r="9" customFormat="false" ht="15" hidden="false" customHeight="false" outlineLevel="0" collapsed="false">
      <c r="A9" s="12" t="s">
        <v>162</v>
      </c>
      <c r="B9" s="43" t="n">
        <v>0.8</v>
      </c>
      <c r="D9" s="41" t="s">
        <v>163</v>
      </c>
    </row>
    <row r="10" customFormat="false" ht="15" hidden="false" customHeight="false" outlineLevel="0" collapsed="false">
      <c r="A10" s="12" t="s">
        <v>164</v>
      </c>
      <c r="B10" s="43" t="n">
        <v>0.94</v>
      </c>
      <c r="D10" s="41" t="s">
        <v>165</v>
      </c>
    </row>
    <row r="11" customFormat="false" ht="15" hidden="false" customHeight="false" outlineLevel="0" collapsed="false">
      <c r="A11" s="12" t="s">
        <v>166</v>
      </c>
      <c r="B11" s="43" t="n">
        <v>0.315</v>
      </c>
      <c r="C11" s="43" t="n">
        <v>0.108</v>
      </c>
      <c r="D11" s="41" t="s">
        <v>167</v>
      </c>
    </row>
    <row r="12" customFormat="false" ht="15" hidden="false" customHeight="false" outlineLevel="0" collapsed="false">
      <c r="A12" s="12" t="s">
        <v>168</v>
      </c>
      <c r="B12" s="44" t="n">
        <v>80614</v>
      </c>
      <c r="C12" s="44" t="n">
        <v>104828</v>
      </c>
      <c r="D12" s="41" t="s">
        <v>169</v>
      </c>
    </row>
    <row r="13" customFormat="false" ht="15" hidden="false" customHeight="false" outlineLevel="0" collapsed="false">
      <c r="A13" s="12" t="s">
        <v>170</v>
      </c>
      <c r="B13" s="43" t="n">
        <v>0.203</v>
      </c>
      <c r="C13" s="43" t="n">
        <v>0.097</v>
      </c>
      <c r="D13" s="41" t="s">
        <v>171</v>
      </c>
    </row>
    <row r="14" customFormat="false" ht="15" hidden="false" customHeight="false" outlineLevel="0" collapsed="false">
      <c r="A14" s="12" t="s">
        <v>172</v>
      </c>
      <c r="B14" s="43" t="n">
        <v>0.28</v>
      </c>
      <c r="D14" s="41" t="s">
        <v>173</v>
      </c>
    </row>
    <row r="15" customFormat="false" ht="15" hidden="false" customHeight="false" outlineLevel="0" collapsed="false">
      <c r="A15" s="12" t="s">
        <v>174</v>
      </c>
      <c r="B15" s="43" t="n">
        <v>0.21</v>
      </c>
      <c r="D15" s="41" t="s">
        <v>175</v>
      </c>
    </row>
    <row r="16" customFormat="false" ht="15" hidden="false" customHeight="false" outlineLevel="0" collapsed="false">
      <c r="A16" s="12" t="s">
        <v>176</v>
      </c>
      <c r="B16" s="44" t="n">
        <v>649900</v>
      </c>
      <c r="C16" s="44" t="n">
        <v>607400</v>
      </c>
      <c r="D16" s="41" t="s">
        <v>177</v>
      </c>
    </row>
    <row r="18" customFormat="false" ht="15" hidden="false" customHeight="false" outlineLevel="0" collapsed="false">
      <c r="A18" s="45" t="s">
        <v>178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2026-10-25T20:59:52Z</dcterms:created>
  <dc:creator>openpyxl</dc:creator>
  <dc:description/>
  <dc:language>en-US</dc:language>
  <cp:lastModifiedBy/>
  <dcterms:modified xsi:type="dcterms:W3CDTF">2026-10-25T20:59:52Z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