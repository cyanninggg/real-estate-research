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94c783ae1445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5beeab736f84aab"/>
    <x:sheet xmlns:r="http://schemas.openxmlformats.org/officeDocument/2006/relationships" name="Inputs" sheetId="2" r:id="R2d2069bbeac34f28"/>
    <x:sheet xmlns:r="http://schemas.openxmlformats.org/officeDocument/2006/relationships" name="Lease Economics" sheetId="3" r:id="R4beb734ce8fa451c"/>
    <x:sheet xmlns:r="http://schemas.openxmlformats.org/officeDocument/2006/relationships" name="Pro Forma" sheetId="4" r:id="R63e684a73e79400e"/>
    <x:sheet xmlns:r="http://schemas.openxmlformats.org/officeDocument/2006/relationships" name="Sensitivity" sheetId="5" r:id="R6b8fab016b5242db"/>
    <x:sheet xmlns:r="http://schemas.openxmlformats.org/officeDocument/2006/relationships" name="Market Evidence" sheetId="6" r:id="R5e622f43e8c0414f"/>
    <x:sheet xmlns:r="http://schemas.openxmlformats.org/officeDocument/2006/relationships" name="Hew Tax Evidence" sheetId="7" r:id="R067cd14aafb34334"/>
    <x:sheet xmlns:r="http://schemas.openxmlformats.org/officeDocument/2006/relationships" name="Demand" sheetId="8" r:id="Rc5cffe83c87742d5"/>
    <x:sheet xmlns:r="http://schemas.openxmlformats.org/officeDocument/2006/relationships" name="Audit" sheetId="9" r:id="R4be26eb0d3164d83"/>
    <x:sheet xmlns:r="http://schemas.openxmlformats.org/officeDocument/2006/relationships" name="How to use" sheetId="10" r:id="Rdd812a3024b64dc7"/>
    <x:sheet xmlns:r="http://schemas.openxmlformats.org/officeDocument/2006/relationships" name="Affordable Housing" sheetId="11" r:id="R5b50989d0e3149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7">
    <x:numFmt numFmtId="200" formatCode="#,##0;(#,##0);–"/>
    <x:numFmt numFmtId="201" formatCode="  @"/>
    <x:numFmt numFmtId="202" formatCode="0.0%;(0.0%);–"/>
    <x:numFmt numFmtId="203" formatCode="$#,##0;($#,##0);–"/>
    <x:numFmt numFmtId="204" formatCode="0.0"/>
    <x:numFmt numFmtId="205" formatCode="0.00%"/>
    <x:numFmt numFmtId="206" formatCode="0.0000%"/>
    <x:numFmt numFmtId="207" formatCode="0.0;(0.0);–"/>
    <x:numFmt numFmtId="208" formatCode="0.0%;(0.0%);0.0%"/>
    <x:numFmt numFmtId="209" formatCode="@"/>
    <x:numFmt numFmtId="210" formatCode="0.00;(0.00);–"/>
    <x:numFmt numFmtId="211" formatCode="0"/>
    <x:numFmt numFmtId="212" formatCode="#,##0.0"/>
    <x:numFmt numFmtId="213" formatCode="#,##0"/>
    <x:numFmt numFmtId="214" formatCode="0.0%"/>
    <x:numFmt numFmtId="215" formatCode="$#,##0;($#,##0)"/>
    <x:numFmt numFmtId="216" formatCode="#,##0.00;(#,##0.00);–"/>
  </x:numFmts>
  <x:fonts count="18">
    <x:font>
      <x:sz val="11"/>
      <x:name val="Carlito"/>
    </x:font>
    <x:font>
      <x:sz val="10"/>
      <x:color rgb="FF24344A"/>
      <x:name val="Arial"/>
    </x:font>
    <x:font>
      <x:b/>
      <x:sz val="15"/>
      <x:color rgb="FF182942"/>
      <x:name val="Arial"/>
    </x:font>
    <x:font>
      <x:b/>
      <x:sz val="10"/>
      <x:color rgb="FFFFFFFF"/>
      <x:name val="Arial"/>
    </x:font>
    <x:font>
      <x:b/>
      <x:sz val="10"/>
      <x:color rgb="FF1D3556"/>
      <x:name val="Arial"/>
    </x:font>
    <x:font>
      <x:sz val="10"/>
      <x:color rgb="FF1556A7"/>
      <x:name val="Arial"/>
    </x:font>
    <x:font>
      <x:b/>
      <x:sz val="10"/>
      <x:color rgb="FF1556A7"/>
      <x:name val="Arial"/>
    </x:font>
    <x:font>
      <x:sz val="10"/>
      <x:color rgb="FF263D5A"/>
      <x:name val="Aptos"/>
    </x:font>
    <x:font>
      <x:b/>
      <x:sz val="17"/>
      <x:color rgb="FFFFFFFF"/>
      <x:name val="Aptos Display"/>
    </x:font>
    <x:font>
      <x:sz val="10"/>
      <x:color rgb="FF67788A"/>
      <x:name val="Aptos"/>
    </x:font>
    <x:font>
      <x:b/>
      <x:sz val="10"/>
      <x:color rgb="FFFFFFFF"/>
      <x:name val="Aptos"/>
    </x:font>
    <x:font>
      <x:b/>
      <x:sz val="10"/>
      <x:color rgb="FF1E3554"/>
      <x:name val="Aptos"/>
    </x:font>
    <x:font>
      <x:b/>
      <x:sz val="11"/>
      <x:color rgb="FF2563A6"/>
      <x:name val="Aptos"/>
    </x:font>
    <x:font>
      <x:b/>
      <x:sz val="10"/>
      <x:color rgb="FF2563A6"/>
      <x:name val="Aptos"/>
    </x:font>
    <x:font>
      <x:b/>
      <x:sz val="10"/>
      <x:color rgb="FF156B54"/>
      <x:name val="Aptos"/>
    </x:font>
    <x:font>
      <x:b/>
      <x:sz val="11"/>
      <x:color rgb="FF1E3554"/>
      <x:name val="Aptos"/>
    </x:font>
    <x:font>
      <x:sz val="9"/>
      <x:color rgb="FF67788A"/>
      <x:name val="Aptos"/>
    </x:font>
    <x:font>
      <x:b/>
      <x:sz val="11"/>
      <x:color rgb="FFFFFFFF"/>
      <x:name val="Aptos"/>
    </x:font>
  </x:fonts>
  <x:fills count="11">
    <x:fill>
      <x:patternFill patternType="none"/>
    </x:fill>
    <x:fill>
      <x:patternFill patternType="gray125"/>
    </x:fill>
    <x:fill>
      <x:patternFill patternType="solid">
        <x:fgColor rgb="FF1D3556"/>
      </x:patternFill>
    </x:fill>
    <x:fill>
      <x:patternFill patternType="solid">
        <x:fgColor rgb="FFEAF0F7"/>
      </x:patternFill>
    </x:fill>
    <x:fill>
      <x:patternFill patternType="solid">
        <x:fgColor rgb="FFFFF4D6"/>
      </x:patternFill>
    </x:fill>
    <x:fill>
      <x:patternFill patternType="solid">
        <x:fgColor rgb="FF1E3554"/>
      </x:patternFill>
    </x:fill>
    <x:fill>
      <x:patternFill patternType="solid">
        <x:fgColor rgb="FFF4F7FA"/>
      </x:patternFill>
    </x:fill>
    <x:fill>
      <x:patternFill patternType="solid">
        <x:fgColor rgb="FFE7EFF7"/>
      </x:patternFill>
    </x:fill>
    <x:fill>
      <x:patternFill patternType="solid">
        <x:fgColor rgb="FFE2F3EE"/>
      </x:patternFill>
    </x:fill>
    <x:fill>
      <x:patternFill patternType="solid">
        <x:fgColor rgb="FFFFF0CC"/>
      </x:patternFill>
    </x:fill>
    <x:fill>
      <x:patternFill patternType="solid">
        <x:fgColor rgb="FFEBF5F0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0" fontId="4" fillId="3" borderId="0" xfId="0" applyNumberFormat="1" applyFont="1" applyFill="1" applyBorder="1"/>
    <x:xf numFmtId="200" fontId="4" fillId="3" borderId="0" xfId="0" applyNumberFormat="1" applyFont="1" applyFill="1" applyBorder="1"/>
    <x:xf numFmtId="201" fontId="1" fillId="3" borderId="0" xfId="0" applyNumberFormat="1" applyFont="1" applyFill="1" applyBorder="1"/>
    <x:xf numFmtId="201" fontId="4" fillId="3" borderId="0" xfId="0" applyNumberFormat="1" applyFont="1" applyFill="1" applyBorder="1"/>
    <x:xf numFmtId="200" fontId="5" fillId="0" borderId="0" xfId="0" applyNumberFormat="1" applyFont="1" applyFill="1" applyBorder="1"/>
    <x:xf numFmtId="200" fontId="6" fillId="3" borderId="0" xfId="0" applyNumberFormat="1" applyFont="1" applyFill="1" applyBorder="1"/>
    <x:xf numFmtId="200" fontId="5" fillId="4" borderId="0" xfId="0" applyNumberFormat="1" applyFont="1" applyFill="1" applyBorder="1"/>
    <x:xf numFmtId="200" fontId="1" fillId="4" borderId="0" xfId="0" applyNumberFormat="1" applyFont="1" applyFill="1" applyBorder="1"/>
    <x:xf numFmtId="202" fontId="5" fillId="4" borderId="0" xfId="0" applyNumberFormat="1" applyFont="1" applyFill="1" applyBorder="1"/>
    <x:xf numFmtId="202" fontId="5" fillId="0" borderId="0" xfId="0" applyNumberFormat="1" applyFont="1" applyFill="1" applyBorder="1"/>
    <x:xf numFmtId="203" fontId="5" fillId="4" borderId="0" xfId="0" applyNumberFormat="1" applyFont="1" applyFill="1" applyBorder="1"/>
    <x:xf numFmtId="203" fontId="1" fillId="0" borderId="0" xfId="0" applyNumberFormat="1" applyFont="1" applyFill="1" applyBorder="1"/>
    <x:xf numFmtId="204" fontId="5" fillId="4" borderId="0" xfId="0" applyNumberFormat="1" applyFont="1" applyFill="1" applyBorder="1"/>
    <x:xf numFmtId="205" fontId="5" fillId="4" borderId="0" xfId="0" applyNumberFormat="1" applyFont="1" applyFill="1" applyBorder="1"/>
    <x:xf numFmtId="206" fontId="5" fillId="0" borderId="0" xfId="0" applyNumberFormat="1" applyFont="1" applyFill="1" applyBorder="1"/>
    <x:xf numFmtId="207" fontId="1" fillId="0" borderId="0" xfId="0" applyNumberFormat="1" applyFont="1" applyFill="1" applyBorder="1"/>
    <x:xf numFmtId="203" fontId="1" fillId="3" borderId="0" xfId="0" applyNumberFormat="1" applyFont="1" applyFill="1" applyBorder="1"/>
    <x:xf numFmtId="203" fontId="4" fillId="3" borderId="0" xfId="0" applyNumberFormat="1" applyFont="1" applyFill="1" applyBorder="1"/>
    <x:xf numFmtId="202" fontId="1" fillId="0" borderId="0" xfId="0" applyNumberFormat="1" applyFont="1" applyFill="1" applyBorder="1"/>
    <x:xf numFmtId="200" fontId="1" fillId="2" borderId="0" xfId="0" applyNumberFormat="1" applyFont="1" applyFill="1" applyBorder="1"/>
    <x:xf numFmtId="200" fontId="3" fillId="2" borderId="0" xfId="0" applyNumberFormat="1" applyFont="1" applyFill="1" applyBorder="1"/>
    <x:xf numFmtId="202" fontId="4" fillId="3" borderId="0" xfId="0" applyNumberFormat="1" applyFont="1" applyFill="1" applyBorder="1"/>
    <x:xf numFmtId="208" fontId="1" fillId="0" borderId="0" xfId="0" applyNumberFormat="1" applyFont="1" applyFill="1" applyBorder="1"/>
    <x:xf numFmtId="208" fontId="4" fillId="3" borderId="0" xfId="0" applyNumberFormat="1" applyFont="1" applyFill="1" applyBorder="1"/>
    <x:xf numFmtId="203" fontId="3" fillId="2" borderId="0" xfId="0" applyNumberFormat="1" applyFont="1" applyFill="1" applyBorder="1"/>
    <x:xf numFmtId="202" fontId="1" fillId="3" borderId="0" xfId="0" applyNumberFormat="1" applyFont="1" applyFill="1" applyBorder="1"/>
    <x:xf numFmtId="209" fontId="1" fillId="0" borderId="0" xfId="0" applyNumberFormat="1" applyFont="1" applyFill="1" applyBorder="1"/>
    <x:xf numFmtId="210" fontId="1" fillId="0" borderId="0" xfId="0" applyNumberFormat="1" applyFont="1" applyFill="1" applyBorder="1"/>
    <x:xf numFmtId="204" fontId="1" fillId="0" borderId="0" xfId="0" applyNumberFormat="1" applyFont="1" applyFill="1" applyBorder="1"/>
    <x:xf numFmtId="211" fontId="1" fillId="0" borderId="0" xfId="0" applyNumberFormat="1" applyFont="1" applyFill="1" applyBorder="1"/>
    <x:xf numFmtId="0" fontId="0" fillId="3" borderId="0" xfId="0" applyNumberFormat="1" applyFont="1" applyFill="1" applyBorder="1"/>
    <x:xf numFmtId="0" fontId="7" fillId="0" borderId="0" xfId="0" applyNumberFormat="1" applyFont="1" applyFill="1" applyBorder="1"/>
    <x:xf numFmtId="0" fontId="7" fillId="5" borderId="0" xfId="0" applyNumberFormat="1" applyFont="1" applyFill="1" applyBorder="1"/>
    <x:xf numFmtId="0" fontId="8" fillId="5" borderId="0" xfId="0" applyNumberFormat="1" applyFont="1" applyFill="1" applyBorder="1"/>
    <x:xf numFmtId="0" fontId="7" fillId="6" borderId="0" xfId="0" applyNumberFormat="1" applyFont="1" applyFill="1" applyBorder="1"/>
    <x:xf numFmtId="0" fontId="9" fillId="6" borderId="0" xfId="0" applyNumberFormat="1" applyFont="1" applyFill="1" applyBorder="1"/>
    <x:xf numFmtId="0" fontId="10" fillId="5" borderId="0" xfId="0" applyNumberFormat="1" applyFont="1" applyFill="1" applyBorder="1"/>
    <x:xf numFmtId="0" fontId="7" fillId="7" borderId="0" xfId="0" applyNumberFormat="1" applyFont="1" applyFill="1" applyBorder="1"/>
    <x:xf numFmtId="0" fontId="11" fillId="7" borderId="0" xfId="0" applyNumberFormat="1" applyFont="1" applyFill="1" applyBorder="1"/>
    <x:xf numFmtId="212" fontId="7" fillId="0" borderId="0" xfId="0" applyNumberFormat="1" applyFont="1" applyFill="1" applyBorder="1"/>
    <x:xf numFmtId="213" fontId="7" fillId="0" borderId="0" xfId="0" applyNumberFormat="1" applyFont="1" applyFill="1" applyBorder="1"/>
    <x:xf numFmtId="214" fontId="7" fillId="0" borderId="0" xfId="0" applyNumberFormat="1" applyFont="1" applyFill="1" applyBorder="1"/>
    <x:xf numFmtId="205" fontId="7" fillId="0" borderId="0" xfId="0" applyNumberFormat="1" applyFont="1" applyFill="1" applyBorder="1"/>
    <x:xf numFmtId="0" fontId="7" fillId="8" borderId="0" xfId="0" applyNumberFormat="1" applyFont="1" applyFill="1" applyBorder="1"/>
    <x:xf numFmtId="213" fontId="7" fillId="8" borderId="0" xfId="0" applyNumberFormat="1" applyFont="1" applyFill="1" applyBorder="1"/>
    <x:xf numFmtId="205" fontId="7" fillId="8" borderId="0" xfId="0" applyNumberFormat="1" applyFont="1" applyFill="1" applyBorder="1"/>
    <x:xf numFmtId="0" fontId="7" fillId="9" borderId="0" xfId="0" applyNumberFormat="1" applyFont="1" applyFill="1" applyBorder="1"/>
    <x:xf numFmtId="0" fontId="12" fillId="9" borderId="0" xfId="0" applyNumberFormat="1" applyFont="1" applyFill="1" applyBorder="1"/>
    <x:xf numFmtId="215" fontId="12" fillId="9" borderId="0" xfId="0" applyNumberFormat="1" applyFont="1" applyFill="1" applyBorder="1"/>
    <x:xf numFmtId="0" fontId="11" fillId="7" borderId="0" xfId="0" applyNumberFormat="1" applyFont="1" applyFill="1" applyBorder="1" applyAlignment="1">
      <x:alignment wrapText="1"/>
    </x:xf>
    <x:xf numFmtId="0" fontId="13" fillId="9" borderId="0" xfId="0" applyNumberFormat="1" applyFont="1" applyFill="1" applyBorder="1"/>
    <x:xf numFmtId="0" fontId="7" fillId="10" borderId="0" xfId="0" applyNumberFormat="1" applyFont="1" applyFill="1" applyBorder="1"/>
    <x:xf numFmtId="0" fontId="14" fillId="10" borderId="0" xfId="0" applyNumberFormat="1" applyFont="1" applyFill="1" applyBorder="1"/>
    <x:xf numFmtId="203" fontId="14" fillId="10" borderId="0" xfId="0" applyNumberFormat="1" applyFont="1" applyFill="1" applyBorder="1"/>
    <x:xf numFmtId="203" fontId="7" fillId="0" borderId="0" xfId="0" applyNumberFormat="1" applyFont="1" applyFill="1" applyBorder="1"/>
    <x:xf numFmtId="213" fontId="13" fillId="9" borderId="0" xfId="0" applyNumberFormat="1" applyFont="1" applyFill="1" applyBorder="1"/>
    <x:xf numFmtId="213" fontId="7" fillId="7" borderId="0" xfId="0" applyNumberFormat="1" applyFont="1" applyFill="1" applyBorder="1"/>
    <x:xf numFmtId="203" fontId="7" fillId="7" borderId="0" xfId="0" applyNumberFormat="1" applyFont="1" applyFill="1" applyBorder="1"/>
    <x:xf numFmtId="0" fontId="15" fillId="7" borderId="0" xfId="0" applyNumberFormat="1" applyFont="1" applyFill="1" applyBorder="1"/>
    <x:xf numFmtId="213" fontId="15" fillId="7" borderId="0" xfId="0" applyNumberFormat="1" applyFont="1" applyFill="1" applyBorder="1"/>
    <x:xf numFmtId="203" fontId="15" fillId="7" borderId="0" xfId="0" applyNumberFormat="1" applyFont="1" applyFill="1" applyBorder="1"/>
    <x:xf numFmtId="215" fontId="7" fillId="0" borderId="0" xfId="0" applyNumberFormat="1" applyFont="1" applyFill="1" applyBorder="1"/>
    <x:xf numFmtId="215" fontId="7" fillId="8" borderId="0" xfId="0" applyNumberFormat="1" applyFont="1" applyFill="1" applyBorder="1"/>
    <x:xf numFmtId="0" fontId="11" fillId="8" borderId="0" xfId="0" applyNumberFormat="1" applyFont="1" applyFill="1" applyBorder="1"/>
    <x:xf numFmtId="215" fontId="11" fillId="8" borderId="0" xfId="0" applyNumberFormat="1" applyFont="1" applyFill="1" applyBorder="1"/>
    <x:xf numFmtId="215" fontId="7" fillId="7" borderId="0" xfId="0" applyNumberFormat="1" applyFont="1" applyFill="1" applyBorder="1"/>
    <x:xf numFmtId="215" fontId="11" fillId="7" borderId="0" xfId="0" applyNumberFormat="1" applyFont="1" applyFill="1" applyBorder="1"/>
    <x:xf numFmtId="0" fontId="16" fillId="0" borderId="0" xfId="0" applyNumberFormat="1" applyFont="1" applyFill="1" applyBorder="1"/>
    <x:xf numFmtId="0" fontId="1" fillId="5" borderId="0" xfId="0" applyNumberFormat="1" applyFont="1" applyFill="1" applyBorder="1"/>
    <x:xf numFmtId="200" fontId="1" fillId="5" borderId="0" xfId="0" applyNumberFormat="1" applyFont="1" applyFill="1" applyBorder="1"/>
    <x:xf numFmtId="0" fontId="17" fillId="5" borderId="0" xfId="0" applyNumberFormat="1" applyFont="1" applyFill="1" applyBorder="1"/>
    <x:xf numFmtId="200" fontId="17" fillId="5" borderId="0" xfId="0" applyNumberFormat="1" applyFont="1" applyFill="1" applyBorder="1"/>
    <x:xf numFmtId="216" fontId="7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455ef78e834df8" /><Relationship Type="http://schemas.openxmlformats.org/officeDocument/2006/relationships/theme" Target="/xl/theme/theme1.xml" Id="R0bedb4f333ca42d1" /><Relationship Type="http://schemas.openxmlformats.org/officeDocument/2006/relationships/sharedStrings" Target="/xl/sharedStrings.xml" Id="Rbfafe8feb783453a" /><Relationship Type="http://schemas.openxmlformats.org/officeDocument/2006/relationships/worksheet" Target="/xl/worksheets/sheet1.xml" Id="R25beeab736f84aab" /><Relationship Type="http://schemas.openxmlformats.org/officeDocument/2006/relationships/worksheet" Target="/xl/worksheets/sheet2.xml" Id="R2d2069bbeac34f28" /><Relationship Type="http://schemas.openxmlformats.org/officeDocument/2006/relationships/worksheet" Target="/xl/worksheets/sheet3.xml" Id="R4beb734ce8fa451c" /><Relationship Type="http://schemas.openxmlformats.org/officeDocument/2006/relationships/worksheet" Target="/xl/worksheets/sheet4.xml" Id="R63e684a73e79400e" /><Relationship Type="http://schemas.openxmlformats.org/officeDocument/2006/relationships/worksheet" Target="/xl/worksheets/sheet5.xml" Id="R6b8fab016b5242db" /><Relationship Type="http://schemas.openxmlformats.org/officeDocument/2006/relationships/worksheet" Target="/xl/worksheets/sheet6.xml" Id="R5e622f43e8c0414f" /><Relationship Type="http://schemas.openxmlformats.org/officeDocument/2006/relationships/worksheet" Target="/xl/worksheets/sheet7.xml" Id="R067cd14aafb34334" /><Relationship Type="http://schemas.openxmlformats.org/officeDocument/2006/relationships/worksheet" Target="/xl/worksheets/sheet8.xml" Id="Rc5cffe83c87742d5" /><Relationship Type="http://schemas.openxmlformats.org/officeDocument/2006/relationships/worksheet" Target="/xl/worksheets/sheet9.xml" Id="R4be26eb0d3164d83" /><Relationship Type="http://schemas.openxmlformats.org/officeDocument/2006/relationships/worksheet" Target="/xl/worksheets/sheet10.xml" Id="Rdd812a3024b64dc7" /><Relationship Type="http://schemas.openxmlformats.org/officeDocument/2006/relationships/worksheet" Target="/xl/worksheets/sheet11.xml" Id="R5b50989d0e31499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3" hidden="0" customWidth="1"/>
    <x:col min="2" max="2" width="26" hidden="0" customWidth="1"/>
    <x:col min="3" max="3" width="26" hidden="0" customWidth="1"/>
    <x:col min="4" max="4" width="3" hidden="0" customWidth="1"/>
    <x:col min="5" max="5" width="72" hidden="0" customWidth="1"/>
  </x:cols>
  <x:sheetData>
    <x:row r="1" ht="20" customHeight="1">
      <x:c r="A1" s="2" t="str">
        <x:v>Hew at 1515 — Leasing and Public Tax Research</x:v>
      </x:c>
      <x:c r="B1" s="2"/>
      <x:c r="C1" s="2"/>
      <x:c r="D1" s="2"/>
      <x:c r="E1" s="2"/>
    </x:row>
    <x:row r="2" ht="20" customHeight="1">
      <x:c r="A2" s="1" t="str">
        <x:v>Research cutoff: 26 October 2026 | Public records plus first-hand market observations</x:v>
      </x:c>
      <x:c r="B2" s="1"/>
      <x:c r="C2" s="1"/>
      <x:c r="D2" s="1"/>
      <x:c r="E2" s="1"/>
    </x:row>
    <x:row r="3" ht="20" customHeight="1">
      <x:c r="A3" s="1"/>
      <x:c r="B3" s="1"/>
      <x:c r="C3" s="1"/>
      <x:c r="D3" s="1"/>
      <x:c r="E3" s="1"/>
    </x:row>
    <x:row r="4" ht="26" customHeight="1">
      <x:c r="A4" s="6" t="str">
        <x:v>Observed Hew metric</x:v>
      </x:c>
      <x:c r="B4" s="6" t="str">
        <x:v>FY2026 / latest</x:v>
      </x:c>
      <x:c r="C4" s="6" t="str">
        <x:v>Evidence class</x:v>
      </x:c>
      <x:c r="D4" s="1"/>
      <x:c r="E4" s="6" t="str">
        <x:v>Interpretation</x:v>
      </x:c>
    </x:row>
    <x:row r="5" ht="20" customHeight="1">
      <x:c r="A5" s="1" t="str">
        <x:v>Official municipal assessed value</x:v>
      </x:c>
      <x:c r="B5" s="20" t="n">
        <x:f>'Hew Tax Evidence'!C11</x:f>
        <x:v>85274300</x:v>
      </x:c>
      <x:c r="C5" s="4" t="str">
        <x:v>City of Boston</x:v>
      </x:c>
      <x:c r="D5" s="3"/>
      <x:c r="E5" s="1" t="str">
        <x:v>Verified parcel assessment, not an investor bid</x:v>
      </x:c>
    </x:row>
    <x:row r="6" ht="20" customHeight="1">
      <x:c r="A6" s="9" t="str">
        <x:v>Official reported net property tax</x:v>
      </x:c>
      <x:c r="B6" s="26" t="n">
        <x:f>'Hew Tax Evidence'!C15</x:f>
        <x:v>1063565.66</x:v>
      </x:c>
      <x:c r="C6" s="12" t="str">
        <x:v>City of Boston</x:v>
      </x:c>
      <x:c r="D6" s="10"/>
      <x:c r="E6" s="9" t="str">
        <x:v>FY2026 net tax; municipal billed figure differs by the reported exemption</x:v>
      </x:c>
    </x:row>
    <x:row r="7" ht="20" customHeight="1">
      <x:c r="A7" s="1" t="str">
        <x:v>Reported property tax / 150 homes</x:v>
      </x:c>
      <x:c r="B7" s="20" t="n">
        <x:f>'Hew Tax Evidence'!C17</x:f>
        <x:v>7090.437733333333</x:v>
      </x:c>
      <x:c r="C7" s="4" t="str">
        <x:v>City + 150-unit listing</x:v>
      </x:c>
      <x:c r="D7" s="3"/>
      <x:c r="E7" s="1" t="str">
        <x:v>Tax per home is a calculated comparison, not an owner accounting item</x:v>
      </x:c>
    </x:row>
    <x:row r="8" ht="20" customHeight="1">
      <x:c r="A8" s="1" t="str">
        <x:v>Observed Hew new-lease free rent</x:v>
      </x:c>
      <x:c r="B8" s="37" t="n">
        <x:f>Inputs!B22</x:f>
        <x:v>2</x:v>
      </x:c>
      <x:c r="C8" s="4" t="str">
        <x:v>Practitioner observation</x:v>
      </x:c>
      <x:c r="D8" s="3"/>
      <x:c r="E8" s="1" t="str">
        <x:v>2 months near October 2026; reportedly up to 2.5 months previously</x:v>
      </x:c>
    </x:row>
    <x:row r="9" ht="20" customHeight="1">
      <x:c r="A9" s="1" t="str">
        <x:v>Broker-sourced leases for the whole building</x:v>
      </x:c>
      <x:c r="B9" s="38" t="str">
        <x:v>n.a.</x:v>
      </x:c>
      <x:c r="C9" s="4" t="str">
        <x:v>Not publicly available</x:v>
      </x:c>
      <x:c r="D9" s="3"/>
      <x:c r="E9" s="1" t="str">
        <x:v>Neither full-building new lease count nor broker channel share is verified.</x:v>
      </x:c>
    </x:row>
    <x:row r="10" ht="20" customHeight="1">
      <x:c r="A10" s="1" t="str">
        <x:v>Full-property turnover / broker share</x:v>
      </x:c>
      <x:c r="B10" s="3" t="str">
        <x:v>n.a.</x:v>
      </x:c>
      <x:c r="C10" s="4" t="str">
        <x:v>Unavailable</x:v>
      </x:c>
      <x:c r="D10" s="3"/>
      <x:c r="E10" s="1" t="str">
        <x:v>Neither denominator can be recovered from listing counts or one brokerage data</x:v>
      </x:c>
    </x:row>
    <x:row r="11" ht="20" customHeight="1">
      <x:c r="A11" s="1"/>
      <x:c r="B11" s="3"/>
      <x:c r="C11" s="3"/>
      <x:c r="D11" s="3"/>
      <x:c r="E11" s="1"/>
    </x:row>
    <x:row r="12" ht="20" customHeight="1">
      <x:c r="A12" s="9" t="str">
        <x:v>SEPARATE EXERCISE: HYPOTHETICAL BRIGHTON DEVELOPMENT (NOT HEW ACTUAL NOI)</x:v>
      </x:c>
      <x:c r="B12" s="10"/>
      <x:c r="C12" s="10"/>
      <x:c r="D12" s="10"/>
      <x:c r="E12" s="9"/>
    </x:row>
    <x:row r="13" ht="20" customHeight="1">
      <x:c r="A13" s="1"/>
      <x:c r="B13" s="3"/>
      <x:c r="C13" s="3"/>
      <x:c r="D13" s="3"/>
      <x:c r="E13" s="1"/>
    </x:row>
    <x:row r="14" ht="26" customHeight="1">
      <x:c r="A14" s="6" t="str">
        <x:v>Illustrative scenario metric</x:v>
      </x:c>
      <x:c r="B14" s="29" t="str">
        <x:v>Market-rate model</x:v>
      </x:c>
      <x:c r="C14" s="29" t="str">
        <x:v>Mixed-income model</x:v>
      </x:c>
      <x:c r="D14" s="3"/>
      <x:c r="E14" s="6" t="str">
        <x:v>Interpretation</x:v>
      </x:c>
    </x:row>
    <x:row r="15" ht="20" customHeight="1">
      <x:c r="A15" s="1"/>
      <x:c r="B15" s="3"/>
      <x:c r="C15" s="3"/>
      <x:c r="D15" s="3"/>
      <x:c r="E15" s="1"/>
    </x:row>
    <x:row r="16" ht="20" customHeight="1">
      <x:c r="A16" s="1" t="str">
        <x:v>Homes</x:v>
      </x:c>
      <x:c r="B16" s="3" t="n">
        <x:f>'Lease Economics'!B5</x:f>
        <x:v>150</x:v>
      </x:c>
      <x:c r="C16" s="3" t="n">
        <x:f>'Lease Economics'!C5</x:f>
        <x:v>150</x:v>
      </x:c>
      <x:c r="D16" s="3"/>
      <x:c r="E16" s="1" t="str">
        <x:v>150-home modeling scale only</x:v>
      </x:c>
    </x:row>
    <x:row r="17" ht="20" customHeight="1">
      <x:c r="A17" s="1" t="str">
        <x:v>Restricted homes</x:v>
      </x:c>
      <x:c r="B17" s="3" t="n">
        <x:f>'Lease Economics'!B7</x:f>
        <x:v>0</x:v>
      </x:c>
      <x:c r="C17" s="3" t="n">
        <x:f>'Lease Economics'!C7</x:f>
        <x:v>26</x:v>
      </x:c>
      <x:c r="D17" s="3"/>
      <x:c r="E17" s="1" t="str">
        <x:v>17% of hypothetical homes rounded</x:v>
      </x:c>
    </x:row>
    <x:row r="18" ht="20" customHeight="1">
      <x:c r="A18" s="1" t="str">
        <x:v>Voucher set-aside homes</x:v>
      </x:c>
      <x:c r="B18" s="3" t="n">
        <x:f>'Lease Economics'!B8</x:f>
        <x:v>0</x:v>
      </x:c>
      <x:c r="C18" s="3" t="n">
        <x:f>'Lease Economics'!C8</x:f>
        <x:v>5</x:v>
      </x:c>
      <x:c r="D18" s="3"/>
      <x:c r="E18" s="1" t="str">
        <x:v>5 voucher homes; BHA 02135 benchmark by default, not approved contract rent.</x:v>
      </x:c>
    </x:row>
    <x:row r="19" ht="20" customHeight="1">
      <x:c r="A19" s="9" t="str">
        <x:v>OPERATING SCENARIO</x:v>
      </x:c>
      <x:c r="B19" s="10"/>
      <x:c r="C19" s="10"/>
      <x:c r="D19" s="10"/>
      <x:c r="E19" s="9"/>
    </x:row>
    <x:row r="20" ht="20" customHeight="1">
      <x:c r="A20" s="1" t="str">
        <x:v>Effective gross income</x:v>
      </x:c>
      <x:c r="B20" s="20" t="n">
        <x:f>'Lease Economics'!B20</x:f>
        <x:v>6053355.46875</x:v>
      </x:c>
      <x:c r="C20" s="20" t="n">
        <x:f>'Lease Economics'!C20</x:f>
        <x:v>5395744.271875</x:v>
      </x:c>
      <x:c r="D20" s="3"/>
      <x:c r="E20" s="1" t="str">
        <x:v>Concessions and vacancy are illustrative assumptions</x:v>
      </x:c>
    </x:row>
    <x:row r="21" ht="20" customHeight="1">
      <x:c r="A21" s="1" t="str">
        <x:v>Recurring expenses + management</x:v>
      </x:c>
      <x:c r="B21" s="20" t="n">
        <x:f>'Lease Economics'!B21+'Lease Economics'!B22</x:f>
        <x:v>-1141600.6640625</x:v>
      </x:c>
      <x:c r="C21" s="20" t="n">
        <x:f>'Lease Economics'!C21+'Lease Economics'!C22</x:f>
        <x:v>-1121872.32815625</x:v>
      </x:c>
      <x:c r="D21" s="3"/>
      <x:c r="E21" s="1" t="str">
        <x:v>No inferred tenant utility bill or tenant renters insurance</x:v>
      </x:c>
    </x:row>
    <x:row r="22" ht="20" customHeight="1">
      <x:c r="A22" s="1" t="str">
        <x:v>Illustrative annual property tax</x:v>
      </x:c>
      <x:c r="B22" s="20" t="n">
        <x:f>'Lease Economics'!B25</x:f>
        <x:v>-953363.3558661314</x:v>
      </x:c>
      <x:c r="C22" s="20" t="n">
        <x:f>'Lease Economics'!C25</x:f>
        <x:v>-829551.3641921398</x:v>
      </x:c>
      <x:c r="D22" s="3"/>
      <x:c r="E22" s="1" t="str">
        <x:v>Loaded-cap approach for THE HYPOTHETICAL SITE only</x:v>
      </x:c>
    </x:row>
    <x:row r="23" ht="20" customHeight="1">
      <x:c r="A23" s="9" t="str">
        <x:v>Illustrative net operating income</x:v>
      </x:c>
      <x:c r="B23" s="26" t="n">
        <x:f>'Lease Economics'!B26</x:f>
        <x:v>3958391.4488213686</x:v>
      </x:c>
      <x:c r="C23" s="26" t="n">
        <x:f>'Lease Economics'!C26</x:f>
        <x:v>3444320.57952661</x:v>
      </x:c>
      <x:c r="D23" s="10"/>
      <x:c r="E23" s="9" t="str">
        <x:v>NOT Hew actual NOI</x:v>
      </x:c>
    </x:row>
    <x:row r="24" ht="20" customHeight="1">
      <x:c r="A24" s="1" t="str">
        <x:v>Cash after reserve and broker costs</x:v>
      </x:c>
      <x:c r="B24" s="20" t="n">
        <x:f>'Lease Economics'!B30</x:f>
        <x:v>3789149.2613213686</x:v>
      </x:c>
      <x:c r="C24" s="20" t="n">
        <x:f>'Lease Economics'!C30</x:f>
        <x:v>3300755.11077661</x:v>
      </x:c>
      <x:c r="D24" s="3"/>
      <x:c r="E24" s="1" t="str">
        <x:v>Illustrative only; no owner T-12 available</x:v>
      </x:c>
    </x:row>
    <x:row r="25" ht="20" customHeight="1">
      <x:c r="A25" s="9" t="str">
        <x:v>DEVELOPMENT FEASIBILITY</x:v>
      </x:c>
      <x:c r="B25" s="26"/>
      <x:c r="C25" s="26"/>
      <x:c r="D25" s="10"/>
      <x:c r="E25" s="9"/>
    </x:row>
    <x:row r="26" ht="20" customHeight="1">
      <x:c r="A26" s="1" t="str">
        <x:v>Hypothetical development cost</x:v>
      </x:c>
      <x:c r="B26" s="20" t="n">
        <x:f>'Pro Forma'!B17</x:f>
        <x:v>79282352.94117647</x:v>
      </x:c>
      <x:c r="C26" s="20" t="n">
        <x:f>'Pro Forma'!C17</x:f>
        <x:v>79282352.94117647</x:v>
      </x:c>
      <x:c r="D26" s="3"/>
      <x:c r="E26" s="1" t="str">
        <x:v>Original historical allocated land and new-build costs</x:v>
      </x:c>
    </x:row>
    <x:row r="27" ht="20" customHeight="1">
      <x:c r="A27" s="9" t="str">
        <x:v>Illustrative indicated property value</x:v>
      </x:c>
      <x:c r="B27" s="26" t="n">
        <x:f>'Pro Forma'!B35</x:f>
        <x:v>76122912.47733402</x:v>
      </x:c>
      <x:c r="C27" s="26" t="n">
        <x:f>'Pro Forma'!C35</x:f>
        <x:v>66236934.22166558</x:v>
      </x:c>
      <x:c r="D27" s="10"/>
      <x:c r="E27" s="9" t="str">
        <x:v>NOT Hew public assessment or an appraisal</x:v>
      </x:c>
    </x:row>
    <x:row r="28" ht="20" customHeight="1">
      <x:c r="A28" s="9" t="str">
        <x:v>Hypothetical development funding gap</x:v>
      </x:c>
      <x:c r="B28" s="26" t="n">
        <x:f>'Pro Forma'!B39</x:f>
        <x:v>3159440.4638424516</x:v>
      </x:c>
      <x:c r="C28" s="26" t="n">
        <x:f>'Pro Forma'!C39</x:f>
        <x:v>13045418.71951089</x:v>
      </x:c>
      <x:c r="D28" s="10"/>
      <x:c r="E28" s="9" t="str">
        <x:v>Modeled project costs less model value</x:v>
      </x:c>
    </x:row>
    <x:row r="29" ht="20" customHeight="1">
      <x:c r="A29" s="1" t="str">
        <x:v>Development yield on cost</x:v>
      </x:c>
      <x:c r="B29" s="27" t="n">
        <x:f>'Pro Forma'!B36</x:f>
        <x:v>0.04992777461786858</x:v>
      </x:c>
      <x:c r="C29" s="27" t="n">
        <x:f>'Pro Forma'!C36</x:f>
        <x:v>0.043443722994474236</x:v>
      </x:c>
      <x:c r="D29" s="3"/>
      <x:c r="E29" s="1" t="str">
        <x:v>Scenario sensitivity only, no debt or real bid</x:v>
      </x:c>
    </x:row>
    <x:row r="30" ht="20" customHeight="1">
      <x:c r="A30" s="1"/>
      <x:c r="B30" s="3"/>
      <x:c r="C30" s="3"/>
      <x:c r="D30" s="3"/>
      <x:c r="E30" s="1"/>
    </x:row>
    <x:row r="31" ht="20" customHeight="1">
      <x:c r="A31" s="9" t="str">
        <x:v>TAX COMPARISON — NOT A REPLACEMENT OF HYPOTHETICAL PROJECT ASSUMPTIONS</x:v>
      </x:c>
      <x:c r="B31" s="10"/>
      <x:c r="C31" s="10"/>
      <x:c r="D31" s="10"/>
      <x:c r="E31" s="9"/>
    </x:row>
    <x:row r="32" ht="20" customHeight="1">
      <x:c r="A32" s="1" t="str">
        <x:v>Hew FY2026 reported net tax</x:v>
      </x:c>
      <x:c r="B32" s="20" t="n">
        <x:f>'Hew Tax Evidence'!C15</x:f>
        <x:v>1063565.66</x:v>
      </x:c>
      <x:c r="C32" s="3"/>
      <x:c r="D32" s="3"/>
      <x:c r="E32" s="1" t="str">
        <x:v>From the separate official Hew public record</x:v>
      </x:c>
    </x:row>
    <x:row r="33" ht="20" customHeight="1">
      <x:c r="A33" s="1" t="str">
        <x:v>Hew tax less market-scenario tax</x:v>
      </x:c>
      <x:c r="B33" s="20" t="n">
        <x:f>'Hew Tax Evidence'!C19</x:f>
        <x:v>110202.30413386854</x:v>
      </x:c>
      <x:c r="C33" s="3"/>
      <x:c r="D33" s="3"/>
      <x:c r="E33" s="1" t="str">
        <x:v>Comparative delta only; NOT the difference between actual and projected Hew expenses</x:v>
      </x:c>
    </x:row>
    <x:row r="34" ht="20" customHeight="1">
      <x:c r="A34" s="1"/>
      <x:c r="B34" s="3"/>
      <x:c r="C34" s="3"/>
      <x:c r="D34" s="3"/>
      <x:c r="E34" s="1"/>
    </x:row>
    <x:row r="35" ht="20" customHeight="1">
      <x:c r="A35" s="9" t="str">
        <x:v>MAIN RESEARCH CONCLUSIONS</x:v>
      </x:c>
      <x:c r="B35" s="10"/>
      <x:c r="C35" s="10"/>
      <x:c r="D35" s="10"/>
      <x:c r="E35" s="9"/>
    </x:row>
    <x:row r="36" ht="20" customHeight="1">
      <x:c r="A36" s="1" t="str">
        <x:v>Leasing incentives vary over time; use effective rent and lease-specific concessions instead of asking rent alone.</x:v>
      </x:c>
      <x:c r="B36" s="3"/>
      <x:c r="C36" s="3"/>
      <x:c r="D36" s="3"/>
      <x:c r="E36" s="1"/>
    </x:row>
    <x:row r="37" ht="20" customHeight="1">
      <x:c r="A37" s="1" t="str">
        <x:v>Property tax is verified from Boston records. Staffing, full turnover, owner Internet fee economics and T-12 are unverified.</x:v>
      </x:c>
      <x:c r="B37" s="3"/>
      <x:c r="C37" s="3"/>
      <x:c r="D37" s="3"/>
      <x:c r="E37" s="1"/>
    </x:row>
    <x:row r="38" ht="20" customHeight="1">
      <x:c r="A38" s="1" t="str">
        <x:v>The historical development pro forma is a separate method demonstration and does not answer Hew acquisition pricing.</x:v>
      </x:c>
      <x:c r="B38" s="3"/>
      <x:c r="C38" s="3"/>
      <x:c r="D38" s="3"/>
      <x:c r="E38" s="1"/>
    </x:row>
    <x:row r="39" ht="20" customHeight="1">
      <x:c r="A39" s="1" t="str">
        <x:v>Report observations with their year and source; avoid publicly identifying brokerage production without consent.</x:v>
      </x:c>
      <x:c r="B39" s="3"/>
      <x:c r="C39" s="3"/>
      <x:c r="D39" s="3"/>
      <x:c r="E39" s="1"/>
    </x:row>
    <x:row r="40" ht="20" customHeight="1">
      <x:c r="A40" s="1"/>
      <x:c r="B40" s="3"/>
      <x:c r="C40" s="3"/>
      <x:c r="D40" s="3"/>
      <x:c r="E40" s="1"/>
    </x:row>
    <x:row r="41" ht="20" customHeight="1">
      <x:c r="A41" s="1"/>
      <x:c r="B41" s="3"/>
      <x:c r="C41" s="3"/>
      <x:c r="D41" s="3"/>
      <x:c r="E41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46" hidden="0" customWidth="1"/>
    <x:col min="2" max="2" width="19" hidden="0" customWidth="1"/>
    <x:col min="3" max="3" width="19" hidden="0" customWidth="1"/>
    <x:col min="4" max="4" width="28" hidden="0" customWidth="1"/>
    <x:col min="5" max="5" width="20" hidden="0" customWidth="1"/>
    <x:col min="6" max="6" width="76" hidden="0" customWidth="1"/>
  </x:cols>
  <x:sheetData>
    <x:row r="1" ht="20" customHeight="1">
      <x:c r="A1" s="2" t="str">
        <x:v>Inputs — Public-Data Scenario, Updated 26 October 2026</x:v>
      </x:c>
      <x:c r="B1" s="2"/>
      <x:c r="C1" s="2"/>
      <x:c r="D1" s="2"/>
      <x:c r="E1" s="2"/>
      <x:c r="F1" s="2"/>
    </x:row>
    <x:row r="2" ht="20" customHeight="1">
      <x:c r="A2" s="1" t="str">
        <x:v>Scenario values are illustrative unless specifically described as official or user-observed. Not Hew T-12.</x:v>
      </x:c>
      <x:c r="B2" s="1"/>
      <x:c r="C2" s="1"/>
      <x:c r="D2" s="1"/>
      <x:c r="E2" s="1"/>
      <x:c r="F2" s="1"/>
    </x:row>
    <x:row r="3" ht="20" customHeight="1">
      <x:c r="A3" s="1"/>
      <x:c r="B3" s="1"/>
      <x:c r="C3" s="1"/>
      <x:c r="D3" s="1"/>
      <x:c r="E3" s="1"/>
      <x:c r="F3" s="1"/>
    </x:row>
    <x:row r="4" ht="26" customHeight="1">
      <x:c r="A4" s="6" t="str">
        <x:v>Driver</x:v>
      </x:c>
      <x:c r="B4" s="6" t="str">
        <x:v>Value</x:v>
      </x:c>
      <x:c r="C4" s="6" t="str">
        <x:v>Unit</x:v>
      </x:c>
      <x:c r="D4" s="6" t="str">
        <x:v>Provenance</x:v>
      </x:c>
      <x:c r="E4" s="6" t="str">
        <x:v>Status</x:v>
      </x:c>
      <x:c r="F4" s="6" t="str">
        <x:v>Source / documentation</x:v>
      </x:c>
    </x:row>
    <x:row r="5" ht="20" customHeight="1">
      <x:c r="A5" s="9" t="str">
        <x:v>DEVELOPMENT / 150-UNIT HYPOTHESIS</x:v>
      </x:c>
      <x:c r="B5" s="10"/>
      <x:c r="C5" s="10"/>
      <x:c r="D5" s="10"/>
      <x:c r="E5" s="9"/>
      <x:c r="F5" s="9"/>
    </x:row>
    <x:row r="6" ht="20" customHeight="1">
      <x:c r="A6" s="1" t="str">
        <x:v>Units</x:v>
      </x:c>
      <x:c r="B6" s="15" t="n">
        <x:v>150</x:v>
      </x:c>
      <x:c r="C6" s="4" t="str">
        <x:v>units</x:v>
      </x:c>
      <x:c r="D6" s="3" t="str">
        <x:v>Hew reference scale</x:v>
      </x:c>
      <x:c r="E6" s="1" t="str">
        <x:v>Reference</x:v>
      </x:c>
      <x:c r="F6" s="1" t="str">
        <x:v>Original uploaded model; no building-specific financials</x:v>
      </x:c>
    </x:row>
    <x:row r="7" ht="20" customHeight="1">
      <x:c r="A7" s="1" t="str">
        <x:v>Average rentable area</x:v>
      </x:c>
      <x:c r="B7" s="15" t="n">
        <x:v>640</x:v>
      </x:c>
      <x:c r="C7" s="4" t="str">
        <x:v>sf / home</x:v>
      </x:c>
      <x:c r="D7" s="3" t="str">
        <x:v>Original model proxy</x:v>
      </x:c>
      <x:c r="E7" s="1" t="str">
        <x:v>Assumption</x:v>
      </x:c>
      <x:c r="F7" s="1" t="str">
        <x:v>Floor-plan sample is not a verified building-wide weighted average</x:v>
      </x:c>
    </x:row>
    <x:row r="8" ht="20" customHeight="1">
      <x:c r="A8" s="1" t="str">
        <x:v>Rentable efficiency</x:v>
      </x:c>
      <x:c r="B8" s="17" t="n">
        <x:v>0.85</x:v>
      </x:c>
      <x:c r="C8" s="4" t="str">
        <x:v>%</x:v>
      </x:c>
      <x:c r="D8" s="3" t="str">
        <x:v>Original model proxy</x:v>
      </x:c>
      <x:c r="E8" s="1" t="str">
        <x:v>Assumption</x:v>
      </x:c>
      <x:c r="F8" s="1" t="str">
        <x:v>Rentable area / gross area</x:v>
      </x:c>
    </x:row>
    <x:row r="9" ht="20" customHeight="1">
      <x:c r="A9" s="1" t="str">
        <x:v>Allocated land cost (2019)</x:v>
      </x:c>
      <x:c r="B9" s="19" t="n">
        <x:v>9400000</x:v>
      </x:c>
      <x:c r="C9" s="4" t="str">
        <x:v>USD</x:v>
      </x:c>
      <x:c r="D9" s="3" t="str">
        <x:v>2019 price allocation</x:v>
      </x:c>
      <x:c r="E9" s="1" t="str">
        <x:v>Estimate</x:v>
      </x:c>
      <x:c r="F9" s="1" t="str">
        <x:v>Historical allocation; not current land bid or appraisal</x:v>
      </x:c>
    </x:row>
    <x:row r="10" ht="20" customHeight="1">
      <x:c r="A10" s="1" t="str">
        <x:v>Hard development cost</x:v>
      </x:c>
      <x:c r="B10" s="19" t="n">
        <x:v>450</x:v>
      </x:c>
      <x:c r="C10" s="4" t="str">
        <x:v>USD / gross sf</x:v>
      </x:c>
      <x:c r="D10" s="3" t="str">
        <x:v>Original model proxy</x:v>
      </x:c>
      <x:c r="E10" s="1" t="str">
        <x:v>Assumption</x:v>
      </x:c>
      <x:c r="F10" s="1" t="str">
        <x:v>No verified site-specific construction budget</x:v>
      </x:c>
    </x:row>
    <x:row r="11" ht="20" customHeight="1">
      <x:c r="A11" s="1" t="str">
        <x:v>Soft cost / hard cost</x:v>
      </x:c>
      <x:c r="B11" s="17" t="n">
        <x:v>0.25</x:v>
      </x:c>
      <x:c r="C11" s="4" t="str">
        <x:v>%</x:v>
      </x:c>
      <x:c r="D11" s="3" t="str">
        <x:v>Original model proxy</x:v>
      </x:c>
      <x:c r="E11" s="1" t="str">
        <x:v>Assumption</x:v>
      </x:c>
      <x:c r="F11" s="1" t="str">
        <x:v>Design, approvals, professional costs</x:v>
      </x:c>
    </x:row>
    <x:row r="12" ht="20" customHeight="1">
      <x:c r="A12" s="1" t="str">
        <x:v>Contingency and financing / hard + soft</x:v>
      </x:c>
      <x:c r="B12" s="17" t="n">
        <x:v>0.1</x:v>
      </x:c>
      <x:c r="C12" s="4" t="str">
        <x:v>%</x:v>
      </x:c>
      <x:c r="D12" s="3" t="str">
        <x:v>Original model proxy</x:v>
      </x:c>
      <x:c r="E12" s="1" t="str">
        <x:v>Assumption</x:v>
      </x:c>
      <x:c r="F12" s="1" t="str">
        <x:v>Simplified construction finance, not a loan draw schedule</x:v>
      </x:c>
    </x:row>
    <x:row r="13" ht="20" customHeight="1">
      <x:c r="A13" s="9" t="str">
        <x:v>REVENUE AND HOUSING POLICY</x:v>
      </x:c>
      <x:c r="B13" s="14"/>
      <x:c r="C13" s="12"/>
      <x:c r="D13" s="10"/>
      <x:c r="E13" s="9"/>
      <x:c r="F13" s="9"/>
    </x:row>
    <x:row r="14" ht="20" customHeight="1">
      <x:c r="A14" s="1" t="str">
        <x:v>Market asking rent / home / month</x:v>
      </x:c>
      <x:c r="B14" s="19" t="n">
        <x:v>3875</x:v>
      </x:c>
      <x:c r="C14" s="4" t="str">
        <x:v>USD / month</x:v>
      </x:c>
      <x:c r="D14" s="3" t="str">
        <x:v>Original Oct 2026 model</x:v>
      </x:c>
      <x:c r="E14" s="1" t="str">
        <x:v>Estimate</x:v>
      </x:c>
      <x:c r="F14" s="1" t="str">
        <x:v>https://cyanninggg.github.io/real-estate-research/#/study ; incomplete mix</x:v>
      </x:c>
    </x:row>
    <x:row r="15" ht="20" customHeight="1">
      <x:c r="A15" s="1" t="str">
        <x:v>Affordable rent / home / month</x:v>
      </x:c>
      <x:c r="B15" s="19" t="n">
        <x:f>'Affordable Housing'!H34</x:f>
        <x:v>1462.1538461538462</x:v>
      </x:c>
      <x:c r="C15" s="4" t="str">
        <x:v>USD / month</x:v>
      </x:c>
      <x:c r="D15" s="3" t="str">
        <x:v>City of Boston 2025 IDP, 60% AMI; modeled bedroom-weighted proxy</x:v>
      </x:c>
      <x:c r="E15" s="1" t="str">
        <x:v>BENCHMARK / ASSUMED UNIT MIX</x:v>
      </x:c>
      <x:c r="F15" s="1" t="str">
        <x:v>2025 City limits only; 2026 IDP limit, actual AMI mix and utility adjustments unverified. See Affordable Housing.</x:v>
      </x:c>
    </x:row>
    <x:row r="16" ht="20" customHeight="1">
      <x:c r="A16" s="1" t="str">
        <x:v>Internet fee / market home / month</x:v>
      </x:c>
      <x:c r="B16" s="19" t="n">
        <x:v>70</x:v>
      </x:c>
      <x:c r="C16" s="4" t="str">
        <x:v>USD / month</x:v>
      </x:c>
      <x:c r="D16" s="3" t="str">
        <x:v>User-observed mandatory fee</x:v>
      </x:c>
      <x:c r="E16" s="1" t="str">
        <x:v>User observation</x:v>
      </x:c>
      <x:c r="F16" s="1" t="str">
        <x:v>Payer sees $70 fee; billing recipient and owner revenue accounting unverified</x:v>
      </x:c>
    </x:row>
    <x:row r="17" ht="20" customHeight="1">
      <x:c r="A17" s="1" t="str">
        <x:v>Economic vacancy and bad debt</x:v>
      </x:c>
      <x:c r="B17" s="17" t="n">
        <x:v>0.05</x:v>
      </x:c>
      <x:c r="C17" s="4" t="str">
        <x:v>%</x:v>
      </x:c>
      <x:c r="D17" s="3" t="str">
        <x:v>Original market scenario</x:v>
      </x:c>
      <x:c r="E17" s="1" t="str">
        <x:v>Assumption</x:v>
      </x:c>
      <x:c r="F17" s="1" t="str">
        <x:v>This is NOT the observed public-listing availability rate</x:v>
      </x:c>
    </x:row>
    <x:row r="18" ht="20" customHeight="1">
      <x:c r="A18" s="1" t="str">
        <x:v>Income-restricted share of all homes</x:v>
      </x:c>
      <x:c r="B18" s="17" t="n">
        <x:v>0.17</x:v>
      </x:c>
      <x:c r="C18" s="4" t="str">
        <x:v>%</x:v>
      </x:c>
      <x:c r="D18" s="3" t="str">
        <x:v>Boston Article 79 option</x:v>
      </x:c>
      <x:c r="E18" s="1" t="str">
        <x:v>Official framework</x:v>
      </x:c>
      <x:c r="F18" s="1" t="str">
        <x:v>150-home Option B illustrative new development; separate from Hew 2024 actual policy history.</x:v>
      </x:c>
    </x:row>
    <x:row r="19" ht="20" customHeight="1">
      <x:c r="A19" s="1" t="str">
        <x:v>Voucher set-aside share of all homes</x:v>
      </x:c>
      <x:c r="B19" s="17" t="n">
        <x:v>0.03</x:v>
      </x:c>
      <x:c r="C19" s="4" t="str">
        <x:v>%</x:v>
      </x:c>
      <x:c r="D19" s="3" t="str">
        <x:v>Boston Article 79 option</x:v>
      </x:c>
      <x:c r="E19" s="1" t="str">
        <x:v>Official framework</x:v>
      </x:c>
      <x:c r="F19" s="1" t="str">
        <x:v>Unit shares require discrete rounding; this workbook uses illustrative 26 restricted + 5 voucher.</x:v>
      </x:c>
    </x:row>
    <x:row r="20" ht="20" customHeight="1">
      <x:c r="A20" s="9" t="str">
        <x:v>LEASING AND CONCESSIONS</x:v>
      </x:c>
      <x:c r="B20" s="14"/>
      <x:c r="C20" s="12"/>
      <x:c r="D20" s="10"/>
      <x:c r="E20" s="9"/>
      <x:c r="F20" s="9"/>
    </x:row>
    <x:row r="21" ht="20" customHeight="1">
      <x:c r="A21" s="1" t="str">
        <x:v>Annual new-lease turnover / occupied homes</x:v>
      </x:c>
      <x:c r="B21" s="17" t="n">
        <x:v>0.45</x:v>
      </x:c>
      <x:c r="C21" s="4" t="str">
        <x:v>%</x:v>
      </x:c>
      <x:c r="D21" s="3" t="str">
        <x:v>Scenario only</x:v>
      </x:c>
      <x:c r="E21" s="1" t="str">
        <x:v>Assumption</x:v>
      </x:c>
      <x:c r="F21" s="1" t="str">
        <x:v>Do not confuse ACS mobility with building lease turnover</x:v>
      </x:c>
    </x:row>
    <x:row r="22" ht="20" customHeight="1">
      <x:c r="A22" s="1" t="str">
        <x:v>New-lease free rent</x:v>
      </x:c>
      <x:c r="B22" s="21" t="n">
        <x:v>2</x:v>
      </x:c>
      <x:c r="C22" s="4" t="str">
        <x:v>months</x:v>
      </x:c>
      <x:c r="D22" s="3" t="str">
        <x:v>User-observed Hew offer Oct 2026</x:v>
      </x:c>
      <x:c r="E22" s="1" t="str">
        <x:v>User observation</x:v>
      </x:c>
      <x:c r="F22" s="1" t="str">
        <x:v>Reached 2.5 months historically; not offered on all renewals</x:v>
      </x:c>
    </x:row>
    <x:row r="23" ht="20" customHeight="1">
      <x:c r="A23" s="1" t="str">
        <x:v>Share of renewing leases receiving promotion</x:v>
      </x:c>
      <x:c r="B23" s="17" t="n">
        <x:v>0.25</x:v>
      </x:c>
      <x:c r="C23" s="4" t="str">
        <x:v>%</x:v>
      </x:c>
      <x:c r="D23" s="3" t="str">
        <x:v>Modeling scenario</x:v>
      </x:c>
      <x:c r="E23" s="1" t="str">
        <x:v>Assumption</x:v>
      </x:c>
      <x:c r="F23" s="1" t="str">
        <x:v>No Hew retention-offer take-up disclosed</x:v>
      </x:c>
    </x:row>
    <x:row r="24" ht="20" customHeight="1">
      <x:c r="A24" s="1" t="str">
        <x:v>Free rent for eligible renewal</x:v>
      </x:c>
      <x:c r="B24" s="21" t="n">
        <x:v>1</x:v>
      </x:c>
      <x:c r="C24" s="4" t="str">
        <x:v>months</x:v>
      </x:c>
      <x:c r="D24" s="3" t="str">
        <x:v>User-reported May 2026 offer</x:v>
      </x:c>
      <x:c r="E24" s="1" t="str">
        <x:v>Historical report</x:v>
      </x:c>
      <x:c r="F24" s="1" t="str">
        <x:v>Not established as current policy or universal discount</x:v>
      </x:c>
    </x:row>
    <x:row r="25" ht="20" customHeight="1">
      <x:c r="A25" s="1" t="str">
        <x:v>Broker-sourced share of new leases</x:v>
      </x:c>
      <x:c r="B25" s="17" t="n">
        <x:v>0.5</x:v>
      </x:c>
      <x:c r="C25" s="4" t="str">
        <x:v>%</x:v>
      </x:c>
      <x:c r="D25" s="3" t="str">
        <x:v>Modeling scenario</x:v>
      </x:c>
      <x:c r="E25" s="1" t="str">
        <x:v>UNVERIFIED</x:v>
      </x:c>
      <x:c r="F25" s="1" t="str">
        <x:v>Scenario assumption only; actual building-level broker share remains unknown.</x:v>
      </x:c>
    </x:row>
    <x:row r="26" ht="20" customHeight="1">
      <x:c r="A26" s="1" t="str">
        <x:v>Broker fee for broker-sourced new lease</x:v>
      </x:c>
      <x:c r="B26" s="21" t="n">
        <x:v>1</x:v>
      </x:c>
      <x:c r="C26" s="4" t="str">
        <x:v>months rent</x:v>
      </x:c>
      <x:c r="D26" s="3" t="str">
        <x:v>User-reported Hew broker policy</x:v>
      </x:c>
      <x:c r="E26" s="1" t="str">
        <x:v>User observation</x:v>
      </x:c>
      <x:c r="F26" s="1" t="str">
        <x:v>Cash leasing cost presented below NOI, not recurring rent</x:v>
      </x:c>
    </x:row>
    <x:row r="27" ht="20" customHeight="1">
      <x:c r="A27" s="9" t="str">
        <x:v>VALUATION AND PROPERTY TAX</x:v>
      </x:c>
      <x:c r="B27" s="14"/>
      <x:c r="C27" s="12"/>
      <x:c r="D27" s="10"/>
      <x:c r="E27" s="9"/>
      <x:c r="F27" s="9"/>
    </x:row>
    <x:row r="28" ht="20" customHeight="1">
      <x:c r="A28" s="1" t="str">
        <x:v>Management fee / effective gross income</x:v>
      </x:c>
      <x:c r="B28" s="17" t="n">
        <x:v>0.03</x:v>
      </x:c>
      <x:c r="C28" s="4" t="str">
        <x:v>%</x:v>
      </x:c>
      <x:c r="D28" s="3" t="str">
        <x:v>Underwriting allowance</x:v>
      </x:c>
      <x:c r="E28" s="1" t="str">
        <x:v>Assumption</x:v>
      </x:c>
      <x:c r="F28" s="1" t="str">
        <x:v>https://mfguide.fanniemae.com/node/3776</x:v>
      </x:c>
    </x:row>
    <x:row r="29" ht="20" customHeight="1">
      <x:c r="A29" s="1" t="str">
        <x:v>Stabilized capitalization rate</x:v>
      </x:c>
      <x:c r="B29" s="17" t="n">
        <x:v>0.052</x:v>
      </x:c>
      <x:c r="C29" s="4" t="str">
        <x:v>%</x:v>
      </x:c>
      <x:c r="D29" s="3" t="str">
        <x:v>Original model estimate</x:v>
      </x:c>
      <x:c r="E29" s="1" t="str">
        <x:v>Assumption</x:v>
      </x:c>
      <x:c r="F29" s="1" t="str">
        <x:v>Not a verified Hew transaction yield</x:v>
      </x:c>
    </x:row>
    <x:row r="30" ht="20" customHeight="1">
      <x:c r="A30" s="1" t="str">
        <x:v>FY2026 Boston residential property tax rate</x:v>
      </x:c>
      <x:c r="B30" s="22" t="n">
        <x:v>0.0124</x:v>
      </x:c>
      <x:c r="C30" s="4" t="str">
        <x:v>% of assessed value</x:v>
      </x:c>
      <x:c r="D30" s="3" t="str">
        <x:v>City of Boston</x:v>
      </x:c>
      <x:c r="E30" s="1" t="str">
        <x:v>Official FY2026</x:v>
      </x:c>
      <x:c r="F30" s="1" t="str">
        <x:v>https://content.boston.gov/departments/assessing/how-we-tax-your-property</x:v>
      </x:c>
    </x:row>
    <x:row r="31" ht="20" customHeight="1">
      <x:c r="A31" s="1" t="str">
        <x:v>CPA surcharge on computed property tax</x:v>
      </x:c>
      <x:c r="B31" s="17" t="n">
        <x:v>0.01</x:v>
      </x:c>
      <x:c r="C31" s="4" t="str">
        <x:v>% of bill</x:v>
      </x:c>
      <x:c r="D31" s="3" t="str">
        <x:v>City of Boston</x:v>
      </x:c>
      <x:c r="E31" s="1" t="str">
        <x:v>Official FY2026</x:v>
      </x:c>
      <x:c r="F31" s="1" t="str">
        <x:v>https://content.boston.gov/departments/assessing/community-preservation-act</x:v>
      </x:c>
    </x:row>
    <x:row r="32" ht="20" customHeight="1">
      <x:c r="A32" s="1" t="str">
        <x:v>Assessed value / modeled stabilized value</x:v>
      </x:c>
      <x:c r="B32" s="17" t="n">
        <x:v>1</x:v>
      </x:c>
      <x:c r="C32" s="4" t="str">
        <x:v>%</x:v>
      </x:c>
      <x:c r="D32" s="3" t="str">
        <x:v>Simplified loaded cap</x:v>
      </x:c>
      <x:c r="E32" s="1" t="str">
        <x:v>Assumption</x:v>
      </x:c>
      <x:c r="F32" s="1" t="str">
        <x:v>Actual city assessed value may be materially different</x:v>
      </x:c>
    </x:row>
    <x:row r="33" ht="20" customHeight="1">
      <x:c r="A33" s="1" t="str">
        <x:v>Approximate loaded property-tax rate</x:v>
      </x:c>
      <x:c r="B33" s="23" t="n">
        <x:f>B30*(1+B31)*B32</x:f>
        <x:v>0.012524</x:v>
      </x:c>
      <x:c r="C33" s="4" t="str">
        <x:v>% of value</x:v>
      </x:c>
      <x:c r="D33" s="3" t="str">
        <x:v>Tax × CPA × assessment ratio</x:v>
      </x:c>
      <x:c r="E33" s="1" t="str">
        <x:v>Derived</x:v>
      </x:c>
      <x:c r="F33" s="1" t="str">
        <x:v>CPA $100,000 assessed-value exclusion omitted; ~$12.40 difference per parcel</x:v>
      </x:c>
    </x:row>
    <x:row r="34" ht="20" customHeight="1">
      <x:c r="A34" s="9" t="str">
        <x:v>OPERATING COST COMPONENTS</x:v>
      </x:c>
      <x:c r="B34" s="14"/>
      <x:c r="C34" s="12"/>
      <x:c r="D34" s="10"/>
      <x:c r="E34" s="9"/>
      <x:c r="F34" s="9"/>
    </x:row>
    <x:row r="35" ht="20" customHeight="1">
      <x:c r="A35" s="1" t="str">
        <x:v>Payroll and benefits</x:v>
      </x:c>
      <x:c r="B35" s="19" t="n">
        <x:v>2000</x:v>
      </x:c>
      <x:c r="C35" s="4" t="str">
        <x:v>USD / home / year</x:v>
      </x:c>
      <x:c r="D35" s="3" t="str">
        <x:v>Prior bottom-up budget</x:v>
      </x:c>
      <x:c r="E35" s="1" t="str">
        <x:v>UNVERIFIED</x:v>
      </x:c>
      <x:c r="F35" s="1" t="str">
        <x:v>150 × $2,000 = $300,000/year; staffing and Greystar fee scope unavailable</x:v>
      </x:c>
    </x:row>
    <x:row r="36" ht="20" customHeight="1">
      <x:c r="A36" s="1" t="str">
        <x:v>Repairs and maintenance</x:v>
      </x:c>
      <x:c r="B36" s="19" t="n">
        <x:v>1000</x:v>
      </x:c>
      <x:c r="C36" s="4" t="str">
        <x:v>USD / home / year</x:v>
      </x:c>
      <x:c r="D36" s="3" t="str">
        <x:v>User-proposed bottom-up budget</x:v>
      </x:c>
      <x:c r="E36" s="1" t="str">
        <x:v>Assumption</x:v>
      </x:c>
      <x:c r="F36" s="1" t="str">
        <x:v>Not a Hew actual operating statement</x:v>
      </x:c>
    </x:row>
    <x:row r="37" ht="20" customHeight="1">
      <x:c r="A37" s="1" t="str">
        <x:v>Turnover cleaning / preparation</x:v>
      </x:c>
      <x:c r="B37" s="19" t="n">
        <x:v>500</x:v>
      </x:c>
      <x:c r="C37" s="4" t="str">
        <x:v>USD / home / year</x:v>
      </x:c>
      <x:c r="D37" s="3" t="str">
        <x:v>User-proposed bottom-up budget</x:v>
      </x:c>
      <x:c r="E37" s="1" t="str">
        <x:v>Assumption</x:v>
      </x:c>
      <x:c r="F37" s="1" t="str">
        <x:v>Average cost not linked dynamically to turnover rate</x:v>
      </x:c>
    </x:row>
    <x:row r="38" ht="20" customHeight="1">
      <x:c r="A38" s="1" t="str">
        <x:v>Common-area utilities</x:v>
      </x:c>
      <x:c r="B38" s="19" t="n">
        <x:v>1200</x:v>
      </x:c>
      <x:c r="C38" s="4" t="str">
        <x:v>USD / home / year</x:v>
      </x:c>
      <x:c r="D38" s="3" t="str">
        <x:v>Prior bottom-up budget</x:v>
      </x:c>
      <x:c r="E38" s="1" t="str">
        <x:v>UNVERIFIED</x:v>
      </x:c>
      <x:c r="F38" s="1" t="str">
        <x:v>In-unit utilities tenant-paid (Hew FAQ). Shared-area and building systems owner-cost proxy only</x:v>
      </x:c>
    </x:row>
    <x:row r="39" ht="20" customHeight="1">
      <x:c r="A39" s="1" t="str">
        <x:v>Property insurance</x:v>
      </x:c>
      <x:c r="B39" s="19" t="n">
        <x:v>900</x:v>
      </x:c>
      <x:c r="C39" s="4" t="str">
        <x:v>USD / home / year</x:v>
      </x:c>
      <x:c r="D39" s="3" t="str">
        <x:v>Prior bottom-up budget</x:v>
      </x:c>
      <x:c r="E39" s="1" t="str">
        <x:v>UNVERIFIED</x:v>
      </x:c>
      <x:c r="F39" s="1" t="str">
        <x:v>Owner building coverage only; tenant renters insurance is NOT owner expense</x:v>
      </x:c>
    </x:row>
    <x:row r="40" ht="20" customHeight="1">
      <x:c r="A40" s="1" t="str">
        <x:v>Advertising and marketing</x:v>
      </x:c>
      <x:c r="B40" s="19" t="n">
        <x:v>300</x:v>
      </x:c>
      <x:c r="C40" s="4" t="str">
        <x:v>USD / home / year</x:v>
      </x:c>
      <x:c r="D40" s="3" t="str">
        <x:v>User-proposed bottom-up budget</x:v>
      </x:c>
      <x:c r="E40" s="1" t="str">
        <x:v>Assumption</x:v>
      </x:c>
      <x:c r="F40" s="1" t="str">
        <x:v>Broker fees excluded from this line</x:v>
      </x:c>
    </x:row>
    <x:row r="41" ht="20" customHeight="1">
      <x:c r="A41" s="1" t="str">
        <x:v>Administration and miscellaneous</x:v>
      </x:c>
      <x:c r="B41" s="19" t="n">
        <x:v>500</x:v>
      </x:c>
      <x:c r="C41" s="4" t="str">
        <x:v>USD / home / year</x:v>
      </x:c>
      <x:c r="D41" s="3" t="str">
        <x:v>User-proposed bottom-up budget</x:v>
      </x:c>
      <x:c r="E41" s="1" t="str">
        <x:v>Assumption</x:v>
      </x:c>
      <x:c r="F41" s="1" t="str">
        <x:v>Not a verified Hew bill</x:v>
      </x:c>
    </x:row>
    <x:row r="42" ht="20" customHeight="1">
      <x:c r="A42" s="1" t="str">
        <x:v>Internet vendor procurement</x:v>
      </x:c>
      <x:c r="B42" s="19" t="n">
        <x:v>480</x:v>
      </x:c>
      <x:c r="C42" s="4" t="str">
        <x:v>USD / home / year</x:v>
      </x:c>
      <x:c r="D42" s="3" t="str">
        <x:v>Prior bottom-up budget</x:v>
      </x:c>
      <x:c r="E42" s="1" t="str">
        <x:v>UNVERIFIED</x:v>
      </x:c>
      <x:c r="F42" s="1" t="str">
        <x:v>Count only when owner-billed internet case is enabled at B49</x:v>
      </x:c>
    </x:row>
    <x:row r="43" ht="20" customHeight="1">
      <x:c r="A43" s="1" t="str">
        <x:v>Replacement reserve</x:v>
      </x:c>
      <x:c r="B43" s="19" t="n">
        <x:v>300</x:v>
      </x:c>
      <x:c r="C43" s="4" t="str">
        <x:v>USD / home / year</x:v>
      </x:c>
      <x:c r="D43" s="3" t="str">
        <x:v>User-proposed reserve</x:v>
      </x:c>
      <x:c r="E43" s="1" t="str">
        <x:v>Underwriting convention</x:v>
      </x:c>
      <x:c r="F43" s="1" t="str">
        <x:v>Below NOI as cash reserve in Fannie Mae-style NCF</x:v>
      </x:c>
    </x:row>
    <x:row r="44" ht="20" customHeight="1">
      <x:c r="A44" s="1" t="str">
        <x:v>Non-tax budget including reserve</x:v>
      </x:c>
      <x:c r="B44" s="20" t="n">
        <x:f>SUM(B35:B43)</x:f>
        <x:v>7180</x:v>
      </x:c>
      <x:c r="C44" s="4" t="str">
        <x:v>USD / home / year</x:v>
      </x:c>
      <x:c r="D44" s="3" t="str">
        <x:v>Components B35:B43</x:v>
      </x:c>
      <x:c r="E44" s="1" t="str">
        <x:v>Derived</x:v>
      </x:c>
      <x:c r="F44" s="1" t="str">
        <x:v>Must equal $7,180</x:v>
      </x:c>
    </x:row>
    <x:row r="45" ht="20" customHeight="1">
      <x:c r="A45" s="1" t="str">
        <x:v>Recurring non-tax opex for NOI</x:v>
      </x:c>
      <x:c r="B45" s="20" t="n">
        <x:f>B44-B43-B42*(1-B49)</x:f>
        <x:v>6400</x:v>
      </x:c>
      <x:c r="C45" s="4" t="str">
        <x:v>USD / home / year</x:v>
      </x:c>
      <x:c r="D45" s="3" t="str">
        <x:v>Excludes reserve and vendor cost if owner not collecting</x:v>
      </x:c>
      <x:c r="E45" s="1" t="str">
        <x:v>Derived</x:v>
      </x:c>
      <x:c r="F45" s="1" t="str">
        <x:v>Owner Internet Fee scenario B49 gates both fee revenue and procurement</x:v>
      </x:c>
    </x:row>
    <x:row r="46" ht="20" customHeight="1">
      <x:c r="A46" s="1"/>
      <x:c r="B46" s="3"/>
      <x:c r="C46" s="4"/>
      <x:c r="D46" s="3"/>
      <x:c r="E46" s="1"/>
      <x:c r="F46" s="1"/>
    </x:row>
    <x:row r="47" ht="20" customHeight="1">
      <x:c r="A47" s="1"/>
      <x:c r="B47" s="3"/>
      <x:c r="C47" s="4"/>
      <x:c r="D47" s="3"/>
      <x:c r="E47" s="1"/>
      <x:c r="F47" s="1"/>
    </x:row>
    <x:row r="48" ht="20" customHeight="1">
      <x:c r="A48" s="9" t="str">
        <x:v>OWNER-BILLED INTERNET ACCOUNTING SWITCH</x:v>
      </x:c>
      <x:c r="B48" s="10"/>
      <x:c r="C48" s="12"/>
      <x:c r="D48" s="10"/>
      <x:c r="E48" s="9"/>
      <x:c r="F48" s="9"/>
    </x:row>
    <x:row r="49" ht="20" customHeight="1">
      <x:c r="A49" s="1" t="str">
        <x:v>Owner-billed $70 internet fee? (0=no, 1=yes)</x:v>
      </x:c>
      <x:c r="B49" s="15" t="n">
        <x:v>0</x:v>
      </x:c>
      <x:c r="C49" s="4" t="str">
        <x:v>binary switch</x:v>
      </x:c>
      <x:c r="D49" s="3" t="str">
        <x:v>No invoice / recipient confirmation</x:v>
      </x:c>
      <x:c r="E49" s="1" t="str">
        <x:v>UNVERIFIED</x:v>
      </x:c>
      <x:c r="F49" s="1" t="str">
        <x:v>Base = 0: exclude BOTH $70 owner revenue and $480/vendor-year expense; switch to 1 only with evidence</x:v>
      </x:c>
    </x:row>
    <x:row r="50" ht="20" customHeight="1">
      <x:c r="A50" s="1"/>
      <x:c r="B50" s="3"/>
      <x:c r="C50" s="3"/>
      <x:c r="D50" s="3"/>
      <x:c r="E50" s="1"/>
      <x:c r="F50" s="1"/>
    </x:row>
    <x:row r="51" ht="20" customHeight="1">
      <x:c r="A51" s="1" t="str">
        <x:v>Public-tax actuals</x:v>
      </x:c>
      <x:c r="B51" s="3" t="str">
        <x:v>Hew FY2026 assessed value and reported property tax are in Hew Tax Evidence; NEVER substitute for hypothetical site tax without relabeling.</x:v>
      </x:c>
      <x:c r="C51" s="3"/>
      <x:c r="D51" s="3"/>
      <x:c r="E51" s="1"/>
      <x:c r="F51" s="1"/>
    </x:row>
    <x:row r="52" ht="20" customHeight="1">
      <x:c r="A52" s="1"/>
      <x:c r="B52" s="3"/>
      <x:c r="C52" s="3"/>
      <x:c r="D52" s="3"/>
      <x:c r="E52" s="1"/>
      <x:c r="F52" s="1"/>
    </x:row>
    <x:row r="53" ht="20" customHeight="1">
      <x:c r="A53" s="1" t="str">
        <x:v>Benchmarks</x:v>
      </x:c>
      <x:c r="B53" s="3" t="str">
        <x:v>NAA 2024 total opex: $8,657/home/year, INCLUDING taxes, insurance and management</x:v>
      </x:c>
      <x:c r="C53" s="3" t="str"/>
      <x:c r="D53" s="3" t="str"/>
      <x:c r="E53" s="1" t="str"/>
      <x:c r="F53" s="1" t="str">
        <x:v>https://naahq.org/news/momentum-management-navigating-elevated-costs-constrained-operating-environment</x:v>
      </x:c>
    </x:row>
    <x:row r="54" ht="20" customHeight="1">
      <x:c r="A54" s="1" t="str">
        <x:v>Comparison caveat</x:v>
      </x:c>
      <x:c r="B54" s="3" t="str">
        <x:v>NAA national average is not directly comparable to our bottom-up, tax-excluded and management-excluded budget.</x:v>
      </x:c>
      <x:c r="C54" s="3"/>
      <x:c r="D54" s="3"/>
      <x:c r="E54" s="1"/>
      <x:c r="F54" s="1"/>
    </x:row>
    <x:row r="55" ht="20" customHeight="1">
      <x:c r="A55" s="1"/>
      <x:c r="B55" s="3"/>
      <x:c r="C55" s="3"/>
      <x:c r="D55" s="3"/>
      <x:c r="E55" s="1"/>
      <x:c r="F55" s="1"/>
    </x:row>
    <x:row r="56" ht="20" customHeight="1">
      <x:c r="A56" s="1"/>
      <x:c r="B56" s="3"/>
      <x:c r="C56" s="3"/>
      <x:c r="D56" s="3"/>
      <x:c r="E56" s="1"/>
      <x:c r="F56" s="1"/>
    </x:row>
  </x:sheetData>
  <x:dataValidations count="1">
    <x:dataValidation type="list" sqref="B49">
      <x:formula1>"0,1"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9" hidden="0" customWidth="1"/>
    <x:col min="3" max="3" width="19" hidden="0" customWidth="1"/>
    <x:col min="4" max="4" width="72" hidden="0" customWidth="1"/>
  </x:cols>
  <x:sheetData>
    <x:row r="1" ht="20" customHeight="1">
      <x:c r="A1" s="2" t="str">
        <x:v>Lease Economics — Modeled Annual Stabilization</x:v>
      </x:c>
      <x:c r="B1" s="2"/>
      <x:c r="C1" s="2"/>
      <x:c r="D1" s="2"/>
    </x:row>
    <x:row r="2" ht="20" customHeight="1">
      <x:c r="A2" s="1" t="str">
        <x:v>B = 150-unit market-rate thought experiment; C = 17% restricted + 3% voucher proxy. Hew actual NOI is unknown.</x:v>
      </x:c>
      <x:c r="B2" s="1"/>
      <x:c r="C2" s="1"/>
      <x:c r="D2" s="1"/>
    </x:row>
    <x:row r="3" ht="20" customHeight="1">
      <x:c r="A3" s="1"/>
      <x:c r="B3" s="1"/>
      <x:c r="C3" s="1"/>
      <x:c r="D3" s="1"/>
    </x:row>
    <x:row r="4" ht="26" customHeight="1">
      <x:c r="A4" s="6" t="str">
        <x:v>Annual leasing schedule</x:v>
      </x:c>
      <x:c r="B4" s="6" t="str">
        <x:v>Market rate</x:v>
      </x:c>
      <x:c r="C4" s="6" t="str">
        <x:v>Mixed income</x:v>
      </x:c>
      <x:c r="D4" s="6" t="str">
        <x:v>Basis</x:v>
      </x:c>
    </x:row>
    <x:row r="5" ht="20" customHeight="1">
      <x:c r="A5" s="1" t="str">
        <x:v>Homes</x:v>
      </x:c>
      <x:c r="B5" s="3" t="n">
        <x:f>Inputs!$B$6</x:f>
        <x:v>150</x:v>
      </x:c>
      <x:c r="C5" s="3" t="n">
        <x:f>Inputs!$B$6</x:f>
        <x:v>150</x:v>
      </x:c>
      <x:c r="D5" s="4"/>
    </x:row>
    <x:row r="6" ht="20" customHeight="1">
      <x:c r="A6" s="1" t="str">
        <x:v>Unrestricted market homes</x:v>
      </x:c>
      <x:c r="B6" s="3" t="n">
        <x:f>B5</x:f>
        <x:v>150</x:v>
      </x:c>
      <x:c r="C6" s="3" t="n">
        <x:f>C5-C7-C8</x:f>
        <x:v>119</x:v>
      </x:c>
      <x:c r="D6" s="4"/>
    </x:row>
    <x:row r="7" ht="20" customHeight="1">
      <x:c r="A7" s="1" t="str">
        <x:v>Income-restricted homes</x:v>
      </x:c>
      <x:c r="B7" s="3" t="n">
        <x:f>0</x:f>
        <x:v>0</x:v>
      </x:c>
      <x:c r="C7" s="3" t="n">
        <x:f>'Affordable Housing'!C34</x:f>
        <x:v>26</x:v>
      </x:c>
      <x:c r="D7" s="4" t="str">
        <x:v>26 restricted homes in illustrative 150-home mix; 17% rounds up from 25.5.</x:v>
      </x:c>
    </x:row>
    <x:row r="8" ht="20" customHeight="1">
      <x:c r="A8" s="1" t="str">
        <x:v>Voucher set-aside homes</x:v>
      </x:c>
      <x:c r="B8" s="3" t="n">
        <x:f>0</x:f>
        <x:v>0</x:v>
      </x:c>
      <x:c r="C8" s="3" t="n">
        <x:f>'Affordable Housing'!D34</x:f>
        <x:v>5</x:v>
      </x:c>
      <x:c r="D8" s="4" t="str">
        <x:v>5 voucher homes; 3% rounds up from 4.5 under modeled method; NOT a City ruling.</x:v>
      </x:c>
    </x:row>
    <x:row r="9" ht="20" customHeight="1">
      <x:c r="A9" s="1" t="str">
        <x:v>Potential annual market + voucher rent</x:v>
      </x:c>
      <x:c r="B9" s="3" t="n">
        <x:f>(B6+B8)*Inputs!$B$14*12</x:f>
        <x:v>6975000</x:v>
      </x:c>
      <x:c r="C9" s="3" t="n">
        <x:f>C6*Inputs!$B$14*12+'Affordable Housing'!O34</x:f>
        <x:v>5701956</x:v>
      </x:c>
      <x:c r="D9" s="4" t="str">
        <x:v>Market housing + separate voucher schedule; selected BHA/market proxy on Affordable Housing tab.</x:v>
      </x:c>
    </x:row>
    <x:row r="10" ht="20" customHeight="1">
      <x:c r="A10" s="1" t="str">
        <x:v>Potential restricted rent</x:v>
      </x:c>
      <x:c r="B10" s="3" t="n">
        <x:f>B7*Inputs!$B$15*12</x:f>
        <x:v>0</x:v>
      </x:c>
      <x:c r="C10" s="3" t="n">
        <x:f>'Affordable Housing'!I34</x:f>
        <x:v>456192</x:v>
      </x:c>
      <x:c r="D10" s="4" t="str">
        <x:v>Weighted 2025 IDP 60% AMI limits for assumed Studio/1BR/2BR mix; utilities may reduce rent.</x:v>
      </x:c>
    </x:row>
    <x:row r="11" ht="20" customHeight="1">
      <x:c r="A11" s="9" t="str">
        <x:v>Total gross potential rent</x:v>
      </x:c>
      <x:c r="B11" s="10" t="n">
        <x:f>SUM(B9:B10)</x:f>
        <x:v>6975000</x:v>
      </x:c>
      <x:c r="C11" s="10" t="n">
        <x:f>SUM(C9:C10)</x:f>
        <x:v>6158148</x:v>
      </x:c>
      <x:c r="D11" s="12"/>
    </x:row>
    <x:row r="12" ht="20" customHeight="1">
      <x:c r="A12" s="1" t="str">
        <x:v>Economic vacancy / collection loss</x:v>
      </x:c>
      <x:c r="B12" s="3" t="n">
        <x:f>-B11*Inputs!$B$17</x:f>
        <x:v>-348750</x:v>
      </x:c>
      <x:c r="C12" s="3" t="n">
        <x:f>-C11*Inputs!$B$17</x:f>
        <x:v>-307907.4</x:v>
      </x:c>
      <x:c r="D12" s="4" t="str">
        <x:v>Vacancy scenario is not public-listing availability</x:v>
      </x:c>
    </x:row>
    <x:row r="13" ht="20" customHeight="1">
      <x:c r="A13" s="1" t="str">
        <x:v>Occupied market homes eligible for new deals</x:v>
      </x:c>
      <x:c r="B13" s="24" t="n">
        <x:f>B6*(1-Inputs!$B$17)</x:f>
        <x:v>142.5</x:v>
      </x:c>
      <x:c r="C13" s="24" t="n">
        <x:f>C6*(1-Inputs!$B$17)</x:f>
        <x:v>113.05</x:v>
      </x:c>
      <x:c r="D13" s="4"/>
    </x:row>
    <x:row r="14" ht="20" customHeight="1">
      <x:c r="A14" s="1" t="str">
        <x:v>Expected new market leases / year</x:v>
      </x:c>
      <x:c r="B14" s="24" t="n">
        <x:f>B13*Inputs!$B$21</x:f>
        <x:v>64.125</x:v>
      </x:c>
      <x:c r="C14" s="24" t="n">
        <x:f>C13*Inputs!$B$21</x:f>
        <x:v>50.8725</x:v>
      </x:c>
      <x:c r="D14" s="4"/>
    </x:row>
    <x:row r="15" ht="20" customHeight="1">
      <x:c r="A15" s="1" t="str">
        <x:v>Expected market renewals / year</x:v>
      </x:c>
      <x:c r="B15" s="24" t="n">
        <x:f>B13*(1-Inputs!$B$21)</x:f>
        <x:v>78.375</x:v>
      </x:c>
      <x:c r="C15" s="24" t="n">
        <x:f>C13*(1-Inputs!$B$21)</x:f>
        <x:v>62.1775</x:v>
      </x:c>
      <x:c r="D15" s="4"/>
    </x:row>
    <x:row r="16" ht="20" customHeight="1">
      <x:c r="A16" s="1" t="str">
        <x:v>New-lease free-rent deductions</x:v>
      </x:c>
      <x:c r="B16" s="3" t="n">
        <x:f>-B14*Inputs!$B$14*Inputs!$B$22</x:f>
        <x:v>-496968.75</x:v>
      </x:c>
      <x:c r="C16" s="3" t="n">
        <x:f>-C14*Inputs!$B$14*Inputs!$B$22</x:f>
        <x:v>-394261.875</x:v>
      </x:c>
      <x:c r="D16" s="4" t="str">
        <x:v>Only new unrestricted market leases receive modeled free rent</x:v>
      </x:c>
    </x:row>
    <x:row r="17" ht="20" customHeight="1">
      <x:c r="A17" s="1" t="str">
        <x:v>Selective renewal free-rent deductions</x:v>
      </x:c>
      <x:c r="B17" s="3" t="n">
        <x:f>-B15*Inputs!$B$23*Inputs!$B$14*Inputs!$B$24</x:f>
        <x:v>-75925.78125</x:v>
      </x:c>
      <x:c r="C17" s="3" t="n">
        <x:f>-C15*Inputs!$B$23*Inputs!$B$14*Inputs!$B$24</x:f>
        <x:v>-60234.453125</x:v>
      </x:c>
      <x:c r="D17" s="4" t="str">
        <x:v>Only selected renewals; historic one-month offer from May 2026</x:v>
      </x:c>
    </x:row>
    <x:row r="18" ht="20" customHeight="1">
      <x:c r="A18" s="9" t="str">
        <x:v>Rent after vacancy and concessions</x:v>
      </x:c>
      <x:c r="B18" s="10" t="n">
        <x:f>SUM(B11:B12)+SUM(B16:B17)</x:f>
        <x:v>6053355.46875</x:v>
      </x:c>
      <x:c r="C18" s="10" t="n">
        <x:f>SUM(C11:C12)+SUM(C16:C17)</x:f>
        <x:v>5395744.271875</x:v>
      </x:c>
      <x:c r="D18" s="12"/>
    </x:row>
    <x:row r="19" ht="20" customHeight="1">
      <x:c r="A19" s="1" t="str">
        <x:v>Internet fee income (market homes only)</x:v>
      </x:c>
      <x:c r="B19" s="3" t="n">
        <x:f>B6*(1-Inputs!$B$17)*Inputs!$B$16*12*Inputs!$B$49</x:f>
        <x:v>0</x:v>
      </x:c>
      <x:c r="C19" s="3" t="n">
        <x:f>C6*(1-Inputs!$B$17)*Inputs!$B$16*12*Inputs!$B$49</x:f>
        <x:v>0</x:v>
      </x:c>
      <x:c r="D19" s="4" t="str">
        <x:v>Owner-billed income recognized only if Inputs B49 = 1; default 0 (billing channel unknown)</x:v>
      </x:c>
    </x:row>
    <x:row r="20" ht="20" customHeight="1">
      <x:c r="A20" s="9" t="str">
        <x:v>Effective gross income</x:v>
      </x:c>
      <x:c r="B20" s="10" t="n">
        <x:f>B18+B19</x:f>
        <x:v>6053355.46875</x:v>
      </x:c>
      <x:c r="C20" s="10" t="n">
        <x:f>C18+C19</x:f>
        <x:v>5395744.271875</x:v>
      </x:c>
      <x:c r="D20" s="12"/>
    </x:row>
    <x:row r="21" ht="20" customHeight="1">
      <x:c r="A21" s="1" t="str">
        <x:v>Property management fee</x:v>
      </x:c>
      <x:c r="B21" s="3" t="n">
        <x:f>-B20*Inputs!$B$28</x:f>
        <x:v>-181600.6640625</x:v>
      </x:c>
      <x:c r="C21" s="3" t="n">
        <x:f>-C20*Inputs!$B$28</x:f>
        <x:v>-161872.32815624998</x:v>
      </x:c>
      <x:c r="D21" s="4"/>
    </x:row>
    <x:row r="22" ht="20" customHeight="1">
      <x:c r="A22" s="1" t="str">
        <x:v>Recurring non-tax operating expenses</x:v>
      </x:c>
      <x:c r="B22" s="3" t="n">
        <x:f>-B5*Inputs!$B$45</x:f>
        <x:v>-960000</x:v>
      </x:c>
      <x:c r="C22" s="3" t="n">
        <x:f>-C5*Inputs!$B$45</x:f>
        <x:v>-960000</x:v>
      </x:c>
      <x:c r="D22" s="4"/>
    </x:row>
    <x:row r="23" ht="20" customHeight="1">
      <x:c r="A23" s="9" t="str">
        <x:v>NOI before property tax</x:v>
      </x:c>
      <x:c r="B23" s="10" t="n">
        <x:f>SUM(B20:B22)</x:f>
        <x:v>4911754.8046875</x:v>
      </x:c>
      <x:c r="C23" s="10" t="n">
        <x:f>SUM(C20:C22)</x:f>
        <x:v>4273871.94371875</x:v>
      </x:c>
      <x:c r="D23" s="12"/>
    </x:row>
    <x:row r="24" ht="20" customHeight="1">
      <x:c r="A24" s="1" t="str">
        <x:v>Indicated value (loaded cap method)</x:v>
      </x:c>
      <x:c r="B24" s="20" t="n">
        <x:f>IF(Inputs!$B$29+Inputs!$B$33&gt;0,B23/(Inputs!$B$29+Inputs!$B$33),"n.a.")</x:f>
        <x:v>76122912.47733402</x:v>
      </x:c>
      <x:c r="C24" s="20" t="n">
        <x:f>IF(Inputs!$B$29+Inputs!$B$33&gt;0,C23/(Inputs!$B$29+Inputs!$B$33),"n.a.")</x:f>
        <x:v>66236934.22166558</x:v>
      </x:c>
      <x:c r="D24" s="4" t="str">
        <x:v>NOI before tax / (capitalization rate + approximate property tax rate)</x:v>
      </x:c>
    </x:row>
    <x:row r="25" ht="20" customHeight="1">
      <x:c r="A25" s="1" t="str">
        <x:v>Indicative city property tax</x:v>
      </x:c>
      <x:c r="B25" s="20" t="n">
        <x:f>-B24*Inputs!$B$33</x:f>
        <x:v>-953363.3558661314</x:v>
      </x:c>
      <x:c r="C25" s="20" t="n">
        <x:f>-C24*Inputs!$B$33</x:f>
        <x:v>-829551.3641921398</x:v>
      </x:c>
      <x:c r="D25" s="4"/>
    </x:row>
    <x:row r="26" ht="20" customHeight="1">
      <x:c r="A26" s="9" t="str">
        <x:v>NOI after property tax</x:v>
      </x:c>
      <x:c r="B26" s="26" t="n">
        <x:f>B23+B25</x:f>
        <x:v>3958391.4488213686</x:v>
      </x:c>
      <x:c r="C26" s="26" t="n">
        <x:f>C23+C25</x:f>
        <x:v>3444320.57952661</x:v>
      </x:c>
      <x:c r="D26" s="12"/>
    </x:row>
    <x:row r="27" ht="20" customHeight="1">
      <x:c r="A27" s="1" t="str">
        <x:v>Value cross-check (NOI / cap rate)</x:v>
      </x:c>
      <x:c r="B27" s="20" t="n">
        <x:f>IF(Inputs!$B$29&gt;0,B26/Inputs!$B$29,"n.a.")</x:f>
        <x:v>76122912.47733402</x:v>
      </x:c>
      <x:c r="C27" s="20" t="n">
        <x:f>IF(Inputs!$B$29&gt;0,C26/Inputs!$B$29,"n.a.")</x:f>
        <x:v>66236934.22166558</x:v>
      </x:c>
      <x:c r="D27" s="4"/>
    </x:row>
    <x:row r="28" ht="20" customHeight="1">
      <x:c r="A28" s="1" t="str">
        <x:v>Replacement reserve below NOI</x:v>
      </x:c>
      <x:c r="B28" s="20" t="n">
        <x:f>-B5*Inputs!$B$43</x:f>
        <x:v>-45000</x:v>
      </x:c>
      <x:c r="C28" s="20" t="n">
        <x:f>-C5*Inputs!$B$43</x:f>
        <x:v>-45000</x:v>
      </x:c>
      <x:c r="D28" s="4"/>
    </x:row>
    <x:row r="29" ht="20" customHeight="1">
      <x:c r="A29" s="1" t="str">
        <x:v>Broker commission below NOI</x:v>
      </x:c>
      <x:c r="B29" s="20" t="n">
        <x:f>-B14*Inputs!$B$14*Inputs!$B$25*Inputs!$B$26</x:f>
        <x:v>-124242.1875</x:v>
      </x:c>
      <x:c r="C29" s="20" t="n">
        <x:f>-C14*Inputs!$B$14*Inputs!$B$25*Inputs!$B$26</x:f>
        <x:v>-98565.46875</x:v>
      </x:c>
      <x:c r="D29" s="4" t="str">
        <x:v>Broker-sourced new leases only; separated from NOI for clarity</x:v>
      </x:c>
    </x:row>
    <x:row r="30" ht="20" customHeight="1">
      <x:c r="A30" s="9" t="str">
        <x:v>Net cash after reserve and broker expense</x:v>
      </x:c>
      <x:c r="B30" s="26" t="n">
        <x:f>SUM(B26,B28:B29)</x:f>
        <x:v>3789149.2613213686</x:v>
      </x:c>
      <x:c r="C30" s="26" t="n">
        <x:f>SUM(C26,C28:C29)</x:f>
        <x:v>3300755.11077661</x:v>
      </x:c>
      <x:c r="D30" s="12" t="str">
        <x:v>Illustrative annual cash, not audited owner distributions</x:v>
      </x:c>
    </x:row>
    <x:row r="31" ht="20" customHeight="1">
      <x:c r="A31" s="1" t="str">
        <x:v>Monthly effective market rent / occupied home</x:v>
      </x:c>
      <x:c r="B31" s="20" t="n">
        <x:f>IF(B13&gt;0,B33/B13/12,"n.a.")</x:f>
        <x:v>3539.9739583333335</x:v>
      </x:c>
      <x:c r="C31" s="20" t="n">
        <x:f>IF(C13&gt;0,C33/C13/12,"n.a.")</x:f>
        <x:v>3539.9739583333335</x:v>
      </x:c>
      <x:c r="D31" s="4"/>
    </x:row>
    <x:row r="32" ht="20" customHeight="1">
      <x:c r="A32" s="1" t="str">
        <x:v>Expected broker cost / new lease</x:v>
      </x:c>
      <x:c r="B32" s="20" t="n">
        <x:f>Inputs!$B$14*Inputs!$B$25*Inputs!$B$26</x:f>
        <x:v>1937.5</x:v>
      </x:c>
      <x:c r="C32" s="20" t="n">
        <x:f>Inputs!$B$14*Inputs!$B$25*Inputs!$B$26</x:f>
        <x:v>1937.5</x:v>
      </x:c>
      <x:c r="D32" s="4"/>
    </x:row>
    <x:row r="33" ht="20" customHeight="1">
      <x:c r="A33" s="1" t="str">
        <x:v>Net market rent after vacancy and free rent</x:v>
      </x:c>
      <x:c r="B33" s="3" t="n">
        <x:f>B9*(1-Inputs!$B$17)+B16+B17</x:f>
        <x:v>6053355.46875</x:v>
      </x:c>
      <x:c r="C33" s="3" t="n">
        <x:f>C6*Inputs!$B$14*12*(1-Inputs!$B$17)+C16+C17</x:f>
        <x:v>4802328.671875</x:v>
      </x:c>
      <x:c r="D33" s="4"/>
    </x:row>
    <x:row r="34" ht="20" customHeight="1">
      <x:c r="A34" s="1"/>
      <x:c r="B34" s="3"/>
      <x:c r="C34" s="3"/>
      <x:c r="D34" s="3"/>
    </x:row>
    <x:row r="35" ht="20" customHeight="1">
      <x:c r="A35" s="1"/>
      <x:c r="B35" s="3"/>
      <x:c r="C35" s="3"/>
      <x:c r="D35" s="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9" hidden="0" customWidth="1"/>
    <x:col min="3" max="3" width="19" hidden="0" customWidth="1"/>
    <x:col min="4" max="4" width="58" hidden="0" customWidth="1"/>
  </x:cols>
  <x:sheetData>
    <x:row r="1" ht="20" customHeight="1">
      <x:c r="A1" s="2" t="str">
        <x:v>Development Pro Forma — One Stabilized Year</x:v>
      </x:c>
      <x:c r="B1" s="2"/>
      <x:c r="C1" s="2"/>
      <x:c r="D1" s="2"/>
    </x:row>
    <x:row r="2" ht="20" customHeight="1">
      <x:c r="A2" s="1" t="str">
        <x:v>Illustrative new 150-unit Brighton building; no verified purchase price, actual rent roll, T-12, debt or construction schedule.</x:v>
      </x:c>
      <x:c r="B2" s="1"/>
      <x:c r="C2" s="1"/>
      <x:c r="D2" s="1"/>
    </x:row>
    <x:row r="3" ht="20" customHeight="1">
      <x:c r="A3" s="1"/>
      <x:c r="B3" s="1"/>
      <x:c r="C3" s="1"/>
      <x:c r="D3" s="1"/>
    </x:row>
    <x:row r="4" ht="26" customHeight="1">
      <x:c r="A4" s="6" t="str">
        <x:v>Development / operating metric</x:v>
      </x:c>
      <x:c r="B4" s="6" t="str">
        <x:v>Market rate</x:v>
      </x:c>
      <x:c r="C4" s="6" t="str">
        <x:v>Mixed income</x:v>
      </x:c>
      <x:c r="D4" s="6" t="str">
        <x:v>Meaning</x:v>
      </x:c>
    </x:row>
    <x:row r="5" ht="20" customHeight="1">
      <x:c r="A5" s="9" t="str">
        <x:v>HOUSING MIX AND AREA</x:v>
      </x:c>
      <x:c r="B5" s="10"/>
      <x:c r="C5" s="10"/>
      <x:c r="D5" s="12"/>
    </x:row>
    <x:row r="6" ht="20" customHeight="1">
      <x:c r="A6" s="1" t="str">
        <x:v>Total homes</x:v>
      </x:c>
      <x:c r="B6" s="3" t="n">
        <x:f>'Lease Economics'!B5</x:f>
        <x:v>150</x:v>
      </x:c>
      <x:c r="C6" s="3" t="n">
        <x:f>'Lease Economics'!C5</x:f>
        <x:v>150</x:v>
      </x:c>
      <x:c r="D6" s="4"/>
    </x:row>
    <x:row r="7" ht="20" customHeight="1">
      <x:c r="A7" s="1" t="str">
        <x:v>Restricted homes</x:v>
      </x:c>
      <x:c r="B7" s="3" t="n">
        <x:f>'Lease Economics'!B7</x:f>
        <x:v>0</x:v>
      </x:c>
      <x:c r="C7" s="3" t="n">
        <x:f>'Lease Economics'!C7</x:f>
        <x:v>26</x:v>
      </x:c>
      <x:c r="D7" s="4"/>
    </x:row>
    <x:row r="8" ht="20" customHeight="1">
      <x:c r="A8" s="1" t="str">
        <x:v>Voucher set-aside homes</x:v>
      </x:c>
      <x:c r="B8" s="3" t="n">
        <x:f>'Lease Economics'!B8</x:f>
        <x:v>0</x:v>
      </x:c>
      <x:c r="C8" s="3" t="n">
        <x:f>'Lease Economics'!C8</x:f>
        <x:v>5</x:v>
      </x:c>
      <x:c r="D8" s="4" t="str">
        <x:v>2026 BHA benchmark or market proxy via Affordable Housing; neither is actual contract rent.</x:v>
      </x:c>
    </x:row>
    <x:row r="9" ht="20" customHeight="1">
      <x:c r="A9" s="1" t="str">
        <x:v>Unrestricted market homes</x:v>
      </x:c>
      <x:c r="B9" s="3" t="n">
        <x:f>'Lease Economics'!B6</x:f>
        <x:v>150</x:v>
      </x:c>
      <x:c r="C9" s="3" t="n">
        <x:f>'Lease Economics'!C6</x:f>
        <x:v>119</x:v>
      </x:c>
      <x:c r="D9" s="4"/>
    </x:row>
    <x:row r="10" ht="20" customHeight="1">
      <x:c r="A10" s="1" t="str">
        <x:v>Total rentable floor area</x:v>
      </x:c>
      <x:c r="B10" s="3" t="n">
        <x:f>B6*Inputs!$B$7</x:f>
        <x:v>96000</x:v>
      </x:c>
      <x:c r="C10" s="3" t="n">
        <x:f>C6*Inputs!$B$7</x:f>
        <x:v>96000</x:v>
      </x:c>
      <x:c r="D10" s="4"/>
    </x:row>
    <x:row r="11" ht="20" customHeight="1">
      <x:c r="A11" s="1" t="str">
        <x:v>Total gross building area</x:v>
      </x:c>
      <x:c r="B11" s="3" t="n">
        <x:f>B10/Inputs!$B$8</x:f>
        <x:v>112941.17647058824</x:v>
      </x:c>
      <x:c r="C11" s="3" t="n">
        <x:f>C10/Inputs!$B$8</x:f>
        <x:v>112941.17647058824</x:v>
      </x:c>
      <x:c r="D11" s="4"/>
    </x:row>
    <x:row r="12" ht="20" customHeight="1">
      <x:c r="A12" s="9" t="str">
        <x:v>DEVELOPMENT COST</x:v>
      </x:c>
      <x:c r="B12" s="10"/>
      <x:c r="C12" s="10"/>
      <x:c r="D12" s="12"/>
    </x:row>
    <x:row r="13" ht="20" customHeight="1">
      <x:c r="A13" s="1" t="str">
        <x:v>Historical allocated land cost</x:v>
      </x:c>
      <x:c r="B13" s="20" t="n">
        <x:f>Inputs!$B$9</x:f>
        <x:v>9400000</x:v>
      </x:c>
      <x:c r="C13" s="20" t="n">
        <x:f>Inputs!$B$9</x:f>
        <x:v>9400000</x:v>
      </x:c>
      <x:c r="D13" s="4"/>
    </x:row>
    <x:row r="14" ht="20" customHeight="1">
      <x:c r="A14" s="1" t="str">
        <x:v>Hard development cost</x:v>
      </x:c>
      <x:c r="B14" s="20" t="n">
        <x:f>B11*Inputs!$B$10</x:f>
        <x:v>50823529.4117647</x:v>
      </x:c>
      <x:c r="C14" s="20" t="n">
        <x:f>C11*Inputs!$B$10</x:f>
        <x:v>50823529.4117647</x:v>
      </x:c>
      <x:c r="D14" s="4"/>
    </x:row>
    <x:row r="15" ht="20" customHeight="1">
      <x:c r="A15" s="1" t="str">
        <x:v>Soft development cost</x:v>
      </x:c>
      <x:c r="B15" s="20" t="n">
        <x:f>B14*Inputs!$B$11</x:f>
        <x:v>12705882.352941176</x:v>
      </x:c>
      <x:c r="C15" s="20" t="n">
        <x:f>C14*Inputs!$B$11</x:f>
        <x:v>12705882.352941176</x:v>
      </x:c>
      <x:c r="D15" s="4"/>
    </x:row>
    <x:row r="16" ht="20" customHeight="1">
      <x:c r="A16" s="1" t="str">
        <x:v>Contingency and simplified construction finance</x:v>
      </x:c>
      <x:c r="B16" s="20" t="n">
        <x:f>(B14+B15)*Inputs!$B$12</x:f>
        <x:v>6352941.176470589</x:v>
      </x:c>
      <x:c r="C16" s="20" t="n">
        <x:f>(C14+C15)*Inputs!$B$12</x:f>
        <x:v>6352941.176470589</x:v>
      </x:c>
      <x:c r="D16" s="4"/>
    </x:row>
    <x:row r="17" ht="20" customHeight="1">
      <x:c r="A17" s="9" t="str">
        <x:v>Total development cost</x:v>
      </x:c>
      <x:c r="B17" s="26" t="n">
        <x:f>SUM(B13:B16)</x:f>
        <x:v>79282352.94117647</x:v>
      </x:c>
      <x:c r="C17" s="26" t="n">
        <x:f>SUM(C13:C16)</x:f>
        <x:v>79282352.94117647</x:v>
      </x:c>
      <x:c r="D17" s="12"/>
    </x:row>
    <x:row r="18" ht="20" customHeight="1">
      <x:c r="A18" s="1" t="str">
        <x:v>Development cost / home</x:v>
      </x:c>
      <x:c r="B18" s="20" t="n">
        <x:f>B17/B6</x:f>
        <x:v>528549.0196078431</x:v>
      </x:c>
      <x:c r="C18" s="20" t="n">
        <x:f>C17/C6</x:f>
        <x:v>528549.0196078431</x:v>
      </x:c>
      <x:c r="D18" s="4"/>
    </x:row>
    <x:row r="19" ht="20" customHeight="1">
      <x:c r="A19" s="9" t="str">
        <x:v>STABILIZED OPERATIONS</x:v>
      </x:c>
      <x:c r="B19" s="26"/>
      <x:c r="C19" s="26"/>
      <x:c r="D19" s="12"/>
    </x:row>
    <x:row r="20" ht="20" customHeight="1">
      <x:c r="A20" s="1" t="str">
        <x:v>Gross potential residential rent</x:v>
      </x:c>
      <x:c r="B20" s="20" t="n">
        <x:f>'Lease Economics'!B11</x:f>
        <x:v>6975000</x:v>
      </x:c>
      <x:c r="C20" s="20" t="n">
        <x:f>'Lease Economics'!C11</x:f>
        <x:v>6158148</x:v>
      </x:c>
      <x:c r="D20" s="4"/>
    </x:row>
    <x:row r="21" ht="20" customHeight="1">
      <x:c r="A21" s="1" t="str">
        <x:v>Economic vacancy</x:v>
      </x:c>
      <x:c r="B21" s="20" t="n">
        <x:f>'Lease Economics'!B12</x:f>
        <x:v>-348750</x:v>
      </x:c>
      <x:c r="C21" s="20" t="n">
        <x:f>'Lease Economics'!C12</x:f>
        <x:v>-307907.4</x:v>
      </x:c>
      <x:c r="D21" s="4"/>
    </x:row>
    <x:row r="22" ht="20" customHeight="1">
      <x:c r="A22" s="1" t="str">
        <x:v>New-lease concessions</x:v>
      </x:c>
      <x:c r="B22" s="20" t="n">
        <x:f>'Lease Economics'!B16</x:f>
        <x:v>-496968.75</x:v>
      </x:c>
      <x:c r="C22" s="20" t="n">
        <x:f>'Lease Economics'!C16</x:f>
        <x:v>-394261.875</x:v>
      </x:c>
      <x:c r="D22" s="4"/>
    </x:row>
    <x:row r="23" ht="20" customHeight="1">
      <x:c r="A23" s="1" t="str">
        <x:v>Renewal concessions</x:v>
      </x:c>
      <x:c r="B23" s="20" t="n">
        <x:f>'Lease Economics'!B17</x:f>
        <x:v>-75925.78125</x:v>
      </x:c>
      <x:c r="C23" s="20" t="n">
        <x:f>'Lease Economics'!C17</x:f>
        <x:v>-60234.453125</x:v>
      </x:c>
      <x:c r="D23" s="4"/>
    </x:row>
    <x:row r="24" ht="20" customHeight="1">
      <x:c r="A24" s="1" t="str">
        <x:v>Ancillary fee income</x:v>
      </x:c>
      <x:c r="B24" s="20" t="n">
        <x:f>'Lease Economics'!B19</x:f>
        <x:v>0</x:v>
      </x:c>
      <x:c r="C24" s="20" t="n">
        <x:f>'Lease Economics'!C19</x:f>
        <x:v>0</x:v>
      </x:c>
      <x:c r="D24" s="4"/>
    </x:row>
    <x:row r="25" ht="20" customHeight="1">
      <x:c r="A25" s="9" t="str">
        <x:v>Effective gross income</x:v>
      </x:c>
      <x:c r="B25" s="26" t="n">
        <x:f>SUM(B20:B24)</x:f>
        <x:v>6053355.46875</x:v>
      </x:c>
      <x:c r="C25" s="26" t="n">
        <x:f>SUM(C20:C24)</x:f>
        <x:v>5395744.271875</x:v>
      </x:c>
      <x:c r="D25" s="12"/>
    </x:row>
    <x:row r="26" ht="20" customHeight="1">
      <x:c r="A26" s="1" t="str">
        <x:v>Recurring non-tax property operating costs</x:v>
      </x:c>
      <x:c r="B26" s="20" t="n">
        <x:f>'Lease Economics'!B22</x:f>
        <x:v>-960000</x:v>
      </x:c>
      <x:c r="C26" s="20" t="n">
        <x:f>'Lease Economics'!C22</x:f>
        <x:v>-960000</x:v>
      </x:c>
      <x:c r="D26" s="4"/>
    </x:row>
    <x:row r="27" ht="20" customHeight="1">
      <x:c r="A27" s="1" t="str">
        <x:v>Property management fee</x:v>
      </x:c>
      <x:c r="B27" s="20" t="n">
        <x:f>'Lease Economics'!B21</x:f>
        <x:v>-181600.6640625</x:v>
      </x:c>
      <x:c r="C27" s="20" t="n">
        <x:f>'Lease Economics'!C21</x:f>
        <x:v>-161872.32815624998</x:v>
      </x:c>
      <x:c r="D27" s="4"/>
    </x:row>
    <x:row r="28" ht="20" customHeight="1">
      <x:c r="A28" s="1" t="str">
        <x:v>Estimated property tax</x:v>
      </x:c>
      <x:c r="B28" s="20" t="n">
        <x:f>'Lease Economics'!B25</x:f>
        <x:v>-953363.3558661314</x:v>
      </x:c>
      <x:c r="C28" s="20" t="n">
        <x:f>'Lease Economics'!C25</x:f>
        <x:v>-829551.3641921398</x:v>
      </x:c>
      <x:c r="D28" s="4"/>
    </x:row>
    <x:row r="29" ht="20" customHeight="1">
      <x:c r="A29" s="9" t="str">
        <x:v>Net operating income (NOI)</x:v>
      </x:c>
      <x:c r="B29" s="26" t="n">
        <x:f>SUM(B25:B28)</x:f>
        <x:v>3958391.4488213686</x:v>
      </x:c>
      <x:c r="C29" s="26" t="n">
        <x:f>SUM(C25:C28)</x:f>
        <x:v>3444320.57952661</x:v>
      </x:c>
      <x:c r="D29" s="12" t="str">
        <x:v>Tax expense reconciles to loaded-cap valuation</x:v>
      </x:c>
    </x:row>
    <x:row r="30" ht="20" customHeight="1">
      <x:c r="A30" s="1" t="str">
        <x:v>Replacement reserve — below NOI</x:v>
      </x:c>
      <x:c r="B30" s="20" t="n">
        <x:f>'Lease Economics'!B28</x:f>
        <x:v>-45000</x:v>
      </x:c>
      <x:c r="C30" s="20" t="n">
        <x:f>'Lease Economics'!C28</x:f>
        <x:v>-45000</x:v>
      </x:c>
      <x:c r="D30" s="4"/>
    </x:row>
    <x:row r="31" ht="20" customHeight="1">
      <x:c r="A31" s="1" t="str">
        <x:v>Broker leasing fees — below NOI</x:v>
      </x:c>
      <x:c r="B31" s="20" t="n">
        <x:f>'Lease Economics'!B29</x:f>
        <x:v>-124242.1875</x:v>
      </x:c>
      <x:c r="C31" s="20" t="n">
        <x:f>'Lease Economics'!C29</x:f>
        <x:v>-98565.46875</x:v>
      </x:c>
      <x:c r="D31" s="4"/>
    </x:row>
    <x:row r="32" ht="20" customHeight="1">
      <x:c r="A32" s="9" t="str">
        <x:v>Cash after reserve and broker costs</x:v>
      </x:c>
      <x:c r="B32" s="26" t="n">
        <x:f>SUM(B29:B31)</x:f>
        <x:v>3789149.2613213686</x:v>
      </x:c>
      <x:c r="C32" s="26" t="n">
        <x:f>SUM(C29:C31)</x:f>
        <x:v>3300755.11077661</x:v>
      </x:c>
      <x:c r="D32" s="12"/>
    </x:row>
    <x:row r="33" ht="20" customHeight="1">
      <x:c r="A33" s="9" t="str">
        <x:v>INDICATIVE INVESTMENT FEASIBILITY</x:v>
      </x:c>
      <x:c r="B33" s="10"/>
      <x:c r="C33" s="10"/>
      <x:c r="D33" s="12"/>
    </x:row>
    <x:row r="34" ht="20" customHeight="1">
      <x:c r="A34" s="1" t="str">
        <x:v>Valuation cap rate</x:v>
      </x:c>
      <x:c r="B34" s="27" t="n">
        <x:f>Inputs!$B$29</x:f>
        <x:v>0.052</x:v>
      </x:c>
      <x:c r="C34" s="27" t="n">
        <x:f>Inputs!$B$29</x:f>
        <x:v>0.052</x:v>
      </x:c>
      <x:c r="D34" s="4"/>
    </x:row>
    <x:row r="35" ht="20" customHeight="1">
      <x:c r="A35" s="9" t="str">
        <x:v>Indicated stabilized value</x:v>
      </x:c>
      <x:c r="B35" s="26" t="n">
        <x:f>'Lease Economics'!B24</x:f>
        <x:v>76122912.47733402</x:v>
      </x:c>
      <x:c r="C35" s="26" t="n">
        <x:f>'Lease Economics'!C24</x:f>
        <x:v>66236934.22166558</x:v>
      </x:c>
      <x:c r="D35" s="12" t="str">
        <x:v>Illustrative model indication, not an appraisal or Hew value</x:v>
      </x:c>
    </x:row>
    <x:row r="36" ht="20" customHeight="1">
      <x:c r="A36" s="1" t="str">
        <x:v>Yield on development cost</x:v>
      </x:c>
      <x:c r="B36" s="27" t="n">
        <x:f>B29/B17</x:f>
        <x:v>0.04992777461786858</x:v>
      </x:c>
      <x:c r="C36" s="27" t="n">
        <x:f>C29/C17</x:f>
        <x:v>0.043443722994474236</x:v>
      </x:c>
      <x:c r="D36" s="4"/>
    </x:row>
    <x:row r="37" ht="20" customHeight="1">
      <x:c r="A37" s="1" t="str">
        <x:v>Development yield minus cap rate</x:v>
      </x:c>
      <x:c r="B37" s="27" t="n">
        <x:f>B36-B34</x:f>
        <x:v>-0.0020722253821314207</x:v>
      </x:c>
      <x:c r="C37" s="27" t="n">
        <x:f>C36-C34</x:f>
        <x:v>-0.008556277005525761</x:v>
      </x:c>
      <x:c r="D37" s="4"/>
    </x:row>
    <x:row r="38" ht="20" customHeight="1">
      <x:c r="A38" s="9" t="str">
        <x:v>Indicated value less development cost</x:v>
      </x:c>
      <x:c r="B38" s="26" t="n">
        <x:f>B35-B17</x:f>
        <x:v>-3159440.4638424516</x:v>
      </x:c>
      <x:c r="C38" s="26" t="n">
        <x:f>C35-C17</x:f>
        <x:v>-13045418.71951089</x:v>
      </x:c>
      <x:c r="D38" s="12"/>
    </x:row>
    <x:row r="39" ht="20" customHeight="1">
      <x:c r="A39" s="9" t="str">
        <x:v>Indicative feasibility funding gap</x:v>
      </x:c>
      <x:c r="B39" s="26" t="n">
        <x:f>MAX(0,-B38)</x:f>
        <x:v>3159440.4638424516</x:v>
      </x:c>
      <x:c r="C39" s="26" t="n">
        <x:f>MAX(0,-C38)</x:f>
        <x:v>13045418.71951089</x:v>
      </x:c>
      <x:c r="D39" s="12"/>
    </x:row>
    <x:row r="40" ht="20" customHeight="1">
      <x:c r="A40" s="1" t="str">
        <x:v>Incremental value-to-cost gap per designated home</x:v>
      </x:c>
      <x:c r="B40" s="20" t="n">
        <x:f>0</x:f>
        <x:v>0</x:v>
      </x:c>
      <x:c r="C40" s="20" t="n">
        <x:f>IF(SUM(C7:C8)&gt;0,(C39-B39)/SUM(C7:C8),0)</x:f>
        <x:v>318902.52437640127</x:v>
      </x:c>
      <x:c r="D40" s="4" t="str">
        <x:v>(Mixed-income gap - market-rate gap) / 31 designated homes. NOT subsidy per affordable unit.</x:v>
      </x:c>
    </x:row>
    <x:row r="41" ht="20" customHeight="1">
      <x:c r="A41" s="1"/>
      <x:c r="B41" s="3"/>
      <x:c r="C41" s="3"/>
      <x:c r="D41" s="3"/>
    </x:row>
    <x:row r="42" ht="20" customHeight="1">
      <x:c r="A42" s="1"/>
      <x:c r="B42" s="3"/>
      <x:c r="C42" s="3"/>
      <x:c r="D42" s="3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" hidden="0" customWidth="1"/>
    <x:col min="2" max="2" width="19" hidden="0" customWidth="1"/>
    <x:col min="3" max="3" width="19" hidden="0" customWidth="1"/>
    <x:col min="4" max="4" width="70" hidden="0" customWidth="1"/>
  </x:cols>
  <x:sheetData>
    <x:row r="1" ht="20" customHeight="1">
      <x:c r="A1" s="2" t="str">
        <x:v>Sensitivity — Market-Rate Feasibility</x:v>
      </x:c>
      <x:c r="B1" s="2"/>
      <x:c r="C1" s="2"/>
      <x:c r="D1" s="2"/>
    </x:row>
    <x:row r="2" ht="20" customHeight="1">
      <x:c r="A2" s="1" t="str">
        <x:v>No hidden assumptions: each row adjusts market rent, recurring expenses, or new-lease concessions. All amounts illustrative.</x:v>
      </x:c>
      <x:c r="B2" s="1"/>
      <x:c r="C2" s="1"/>
      <x:c r="D2" s="1"/>
    </x:row>
    <x:row r="3" ht="20" customHeight="1">
      <x:c r="A3" s="1"/>
      <x:c r="B3" s="1"/>
      <x:c r="C3" s="1"/>
      <x:c r="D3" s="1"/>
    </x:row>
    <x:row r="4" ht="26" customHeight="1">
      <x:c r="A4" s="6" t="str">
        <x:v>Market rent change</x:v>
      </x:c>
      <x:c r="B4" s="6" t="str">
        <x:v>NOI</x:v>
      </x:c>
      <x:c r="C4" s="6" t="str">
        <x:v>Indicated value</x:v>
      </x:c>
      <x:c r="D4" s="6" t="str">
        <x:v>Funding gap</x:v>
      </x:c>
    </x:row>
    <x:row r="5" ht="20" customHeight="1">
      <x:c r="A5" s="31" t="n">
        <x:v>-0.1</x:v>
      </x:c>
      <x:c r="B5" s="20" t="n">
        <x:f>C5*Inputs!$B$29</x:f>
        <x:v>3485185.742659708</x:v>
      </x:c>
      <x:c r="C5" s="20" t="n">
        <x:f>((('Lease Economics'!$B$20+'Lease Economics'!$B$33*$A5)*(1-Inputs!$B$28)-Inputs!$B$6*Inputs!$B$45)/(Inputs!$B$29+Inputs!$B$33))</x:f>
        <x:v>67022802.743455924</x:v>
      </x:c>
      <x:c r="D5" s="20" t="n">
        <x:f>MAX(0,'Pro Forma'!$B$17-C5)</x:f>
        <x:v>12259550.19772055</x:v>
      </x:c>
    </x:row>
    <x:row r="6" ht="20" customHeight="1">
      <x:c r="A6" s="31" t="n">
        <x:v>-0.05</x:v>
      </x:c>
      <x:c r="B6" s="20" t="n">
        <x:f>C6*Inputs!$B$29</x:f>
        <x:v>3721788.595740538</x:v>
      </x:c>
      <x:c r="C6" s="20" t="n">
        <x:f>((('Lease Economics'!$B$20+'Lease Economics'!$B$33*$A6)*(1-Inputs!$B$28)-Inputs!$B$6*Inputs!$B$45)/(Inputs!$B$29+Inputs!$B$33))</x:f>
        <x:v>71572857.61039497</x:v>
      </x:c>
      <x:c r="D6" s="20" t="n">
        <x:f>MAX(0,'Pro Forma'!$B$17-C6)</x:f>
        <x:v>7709495.3307815045</x:v>
      </x:c>
    </x:row>
    <x:row r="7" ht="20" customHeight="1">
      <x:c r="A7" s="32" t="n">
        <x:v>0</x:v>
      </x:c>
      <x:c r="B7" s="26" t="n">
        <x:f>C7*Inputs!$B$29</x:f>
        <x:v>3958391.448821369</x:v>
      </x:c>
      <x:c r="C7" s="26" t="n">
        <x:f>((('Lease Economics'!$B$20+'Lease Economics'!$B$33*$A7)*(1-Inputs!$B$28)-Inputs!$B$6*Inputs!$B$45)/(Inputs!$B$29+Inputs!$B$33))</x:f>
        <x:v>76122912.47733402</x:v>
      </x:c>
      <x:c r="D7" s="26" t="n">
        <x:f>MAX(0,'Pro Forma'!$B$17-C7)</x:f>
        <x:v>3159440.4638424516</x:v>
      </x:c>
    </x:row>
    <x:row r="8" ht="20" customHeight="1">
      <x:c r="A8" s="31" t="n">
        <x:v>0.05</x:v>
      </x:c>
      <x:c r="B8" s="20" t="n">
        <x:f>C8*Inputs!$B$29</x:f>
        <x:v>4194994.301902199</x:v>
      </x:c>
      <x:c r="C8" s="20" t="n">
        <x:f>((('Lease Economics'!$B$20+'Lease Economics'!$B$33*$A8)*(1-Inputs!$B$28)-Inputs!$B$6*Inputs!$B$45)/(Inputs!$B$29+Inputs!$B$33))</x:f>
        <x:v>80672967.34427306</x:v>
      </x:c>
      <x:c r="D8" s="20" t="n">
        <x:f>MAX(0,'Pro Forma'!$B$17-C8)</x:f>
        <x:v>0</x:v>
      </x:c>
    </x:row>
    <x:row r="9" ht="20" customHeight="1">
      <x:c r="A9" s="31" t="n">
        <x:v>0.1</x:v>
      </x:c>
      <x:c r="B9" s="20" t="n">
        <x:f>C9*Inputs!$B$29</x:f>
        <x:v>4431597.15498303</x:v>
      </x:c>
      <x:c r="C9" s="20" t="n">
        <x:f>((('Lease Economics'!$B$20+'Lease Economics'!$B$33*$A9)*(1-Inputs!$B$28)-Inputs!$B$6*Inputs!$B$45)/(Inputs!$B$29+Inputs!$B$33))</x:f>
        <x:v>85223022.21121211</x:v>
      </x:c>
      <x:c r="D9" s="20" t="n">
        <x:f>MAX(0,'Pro Forma'!$B$17-C9)</x:f>
        <x:v>0</x:v>
      </x:c>
    </x:row>
    <x:row r="10" ht="20" customHeight="1">
      <x:c r="A10" s="1"/>
      <x:c r="B10" s="20"/>
      <x:c r="C10" s="20"/>
      <x:c r="D10" s="20"/>
    </x:row>
    <x:row r="11" ht="20" customHeight="1">
      <x:c r="A11" s="1"/>
      <x:c r="B11" s="20"/>
      <x:c r="C11" s="20"/>
      <x:c r="D11" s="20"/>
    </x:row>
    <x:row r="12" ht="26" customHeight="1">
      <x:c r="A12" s="6" t="str">
        <x:v>Recurring operating cost change / home</x:v>
      </x:c>
      <x:c r="B12" s="33" t="str">
        <x:v>NOI</x:v>
      </x:c>
      <x:c r="C12" s="33" t="str">
        <x:v>Indicated value</x:v>
      </x:c>
      <x:c r="D12" s="33" t="str">
        <x:v>Funding gap</x:v>
      </x:c>
    </x:row>
    <x:row r="13" ht="20" customHeight="1">
      <x:c r="A13" s="20" t="n">
        <x:v>-1000</x:v>
      </x:c>
      <x:c r="B13" s="20" t="n">
        <x:f>C13*Inputs!$B$29</x:f>
        <x:v>4079276.700820625</x:v>
      </x:c>
      <x:c r="C13" s="20" t="n">
        <x:f>('Lease Economics'!$B$23-Inputs!$B$6*A13)/(Inputs!$B$29+Inputs!$B$33)</x:f>
        <x:v>78447628.8619351</x:v>
      </x:c>
      <x:c r="D13" s="20" t="n">
        <x:f>MAX(0,'Pro Forma'!$B$17-C13)</x:f>
        <x:v>834724.0792413801</x:v>
      </x:c>
    </x:row>
    <x:row r="14" ht="20" customHeight="1">
      <x:c r="A14" s="20" t="n">
        <x:v>-500</x:v>
      </x:c>
      <x:c r="B14" s="20" t="n">
        <x:f>C14*Inputs!$B$29</x:f>
        <x:v>4018834.0748209963</x:v>
      </x:c>
      <x:c r="C14" s="20" t="n">
        <x:f>('Lease Economics'!$B$23-Inputs!$B$6*A14)/(Inputs!$B$29+Inputs!$B$33)</x:f>
        <x:v>77285270.66963455</x:v>
      </x:c>
      <x:c r="D14" s="20" t="n">
        <x:f>MAX(0,'Pro Forma'!$B$17-C14)</x:f>
        <x:v>1997082.2715419233</x:v>
      </x:c>
    </x:row>
    <x:row r="15" ht="20" customHeight="1">
      <x:c r="A15" s="26" t="n">
        <x:v>0</x:v>
      </x:c>
      <x:c r="B15" s="26" t="n">
        <x:f>C15*Inputs!$B$29</x:f>
        <x:v>3958391.448821369</x:v>
      </x:c>
      <x:c r="C15" s="26" t="n">
        <x:f>('Lease Economics'!$B$23-Inputs!$B$6*A15)/(Inputs!$B$29+Inputs!$B$33)</x:f>
        <x:v>76122912.47733402</x:v>
      </x:c>
      <x:c r="D15" s="26" t="n">
        <x:f>MAX(0,'Pro Forma'!$B$17-C15)</x:f>
        <x:v>3159440.4638424516</x:v>
      </x:c>
    </x:row>
    <x:row r="16" ht="20" customHeight="1">
      <x:c r="A16" s="20" t="n">
        <x:v>500</x:v>
      </x:c>
      <x:c r="B16" s="20" t="n">
        <x:f>C16*Inputs!$B$29</x:f>
        <x:v>3897948.8228217405</x:v>
      </x:c>
      <x:c r="C16" s="20" t="n">
        <x:f>('Lease Economics'!$B$23-Inputs!$B$6*A16)/(Inputs!$B$29+Inputs!$B$33)</x:f>
        <x:v>74960554.28503348</x:v>
      </x:c>
      <x:c r="D16" s="20" t="n">
        <x:f>MAX(0,'Pro Forma'!$B$17-C16)</x:f>
        <x:v>4321798.656142995</x:v>
      </x:c>
    </x:row>
    <x:row r="17" ht="20" customHeight="1">
      <x:c r="A17" s="20" t="n">
        <x:v>1000</x:v>
      </x:c>
      <x:c r="B17" s="20" t="n">
        <x:f>C17*Inputs!$B$29</x:f>
        <x:v>3837506.1968221124</x:v>
      </x:c>
      <x:c r="C17" s="20" t="n">
        <x:f>('Lease Economics'!$B$23-Inputs!$B$6*A17)/(Inputs!$B$29+Inputs!$B$33)</x:f>
        <x:v>73798196.09273294</x:v>
      </x:c>
      <x:c r="D17" s="20" t="n">
        <x:f>MAX(0,'Pro Forma'!$B$17-C17)</x:f>
        <x:v>5484156.848443538</x:v>
      </x:c>
    </x:row>
    <x:row r="18" ht="20" customHeight="1">
      <x:c r="A18" s="1"/>
      <x:c r="B18" s="20"/>
      <x:c r="C18" s="20"/>
      <x:c r="D18" s="20"/>
    </x:row>
    <x:row r="19" ht="20" customHeight="1">
      <x:c r="A19" s="1"/>
      <x:c r="B19" s="20"/>
      <x:c r="C19" s="20"/>
      <x:c r="D19" s="20"/>
    </x:row>
    <x:row r="20" ht="26" customHeight="1">
      <x:c r="A20" s="6" t="str">
        <x:v>New-lease free months</x:v>
      </x:c>
      <x:c r="B20" s="33" t="str">
        <x:v>NOI</x:v>
      </x:c>
      <x:c r="C20" s="33" t="str">
        <x:v>Indicated value</x:v>
      </x:c>
      <x:c r="D20" s="33" t="str">
        <x:v>Funding gap</x:v>
      </x:c>
    </x:row>
    <x:row r="21" ht="20" customHeight="1">
      <x:c r="A21" s="1" t="n">
        <x:v>0</x:v>
      </x:c>
      <x:c r="B21" s="20" t="n">
        <x:f>C21*Inputs!$B$29</x:f>
        <x:v>4346884.160835504</x:v>
      </x:c>
      <x:c r="C21" s="20" t="n">
        <x:f>((('Lease Economics'!$B$20-'Lease Economics'!$B$14*Inputs!$B$14*(A21-Inputs!$B$22))*(1-Inputs!$B$28)-Inputs!$B$6*Inputs!$B$45)/(Inputs!$B$29+Inputs!$B$33))</x:f>
        <x:v>83593926.16991353</x:v>
      </x:c>
      <x:c r="D21" s="20" t="n">
        <x:f>MAX(0,'Pro Forma'!$B$17-C21)</x:f>
        <x:v>0</x:v>
      </x:c>
    </x:row>
    <x:row r="22" ht="20" customHeight="1">
      <x:c r="A22" s="1" t="n">
        <x:v>1</x:v>
      </x:c>
      <x:c r="B22" s="20" t="n">
        <x:f>C22*Inputs!$B$29</x:f>
        <x:v>4152637.804828436</x:v>
      </x:c>
      <x:c r="C22" s="20" t="n">
        <x:f>((('Lease Economics'!$B$20-'Lease Economics'!$B$14*Inputs!$B$14*(A22-Inputs!$B$22))*(1-Inputs!$B$28)-Inputs!$B$6*Inputs!$B$45)/(Inputs!$B$29+Inputs!$B$33))</x:f>
        <x:v>79858419.32362378</x:v>
      </x:c>
      <x:c r="D22" s="20" t="n">
        <x:f>MAX(0,'Pro Forma'!$B$17-C22)</x:f>
        <x:v>0</x:v>
      </x:c>
    </x:row>
    <x:row r="23" ht="20" customHeight="1">
      <x:c r="A23" s="9" t="n">
        <x:v>2</x:v>
      </x:c>
      <x:c r="B23" s="26" t="n">
        <x:f>C23*Inputs!$B$29</x:f>
        <x:v>3958391.448821369</x:v>
      </x:c>
      <x:c r="C23" s="26" t="n">
        <x:f>((('Lease Economics'!$B$20-'Lease Economics'!$B$14*Inputs!$B$14*(A23-Inputs!$B$22))*(1-Inputs!$B$28)-Inputs!$B$6*Inputs!$B$45)/(Inputs!$B$29+Inputs!$B$33))</x:f>
        <x:v>76122912.47733402</x:v>
      </x:c>
      <x:c r="D23" s="26" t="n">
        <x:f>MAX(0,'Pro Forma'!$B$17-C23)</x:f>
        <x:v>3159440.4638424516</x:v>
      </x:c>
    </x:row>
    <x:row r="24" ht="20" customHeight="1">
      <x:c r="A24" s="1" t="n">
        <x:v>2.5</x:v>
      </x:c>
      <x:c r="B24" s="20" t="n">
        <x:f>C24*Inputs!$B$29</x:f>
        <x:v>3861268.2708178353</x:v>
      </x:c>
      <x:c r="C24" s="20" t="n">
        <x:f>((('Lease Economics'!$B$20-'Lease Economics'!$B$14*Inputs!$B$14*(A24-Inputs!$B$22))*(1-Inputs!$B$28)-Inputs!$B$6*Inputs!$B$45)/(Inputs!$B$29+Inputs!$B$33))</x:f>
        <x:v>74255159.05418915</x:v>
      </x:c>
      <x:c r="D24" s="20" t="n">
        <x:f>MAX(0,'Pro Forma'!$B$17-C24)</x:f>
        <x:v>5027193.8869873285</x:v>
      </x:c>
    </x:row>
    <x:row r="25" ht="20" customHeight="1">
      <x:c r="A25" s="1" t="n">
        <x:v>3</x:v>
      </x:c>
      <x:c r="B25" s="20" t="n">
        <x:f>C25*Inputs!$B$29</x:f>
        <x:v>3764145.0928143016</x:v>
      </x:c>
      <x:c r="C25" s="20" t="n">
        <x:f>((('Lease Economics'!$B$20-'Lease Economics'!$B$14*Inputs!$B$14*(A25-Inputs!$B$22))*(1-Inputs!$B$28)-Inputs!$B$6*Inputs!$B$45)/(Inputs!$B$29+Inputs!$B$33))</x:f>
        <x:v>72387405.63104427</x:v>
      </x:c>
      <x:c r="D25" s="20" t="n">
        <x:f>MAX(0,'Pro Forma'!$B$17-C25)</x:f>
        <x:v>6894947.3101322055</x:v>
      </x:c>
    </x:row>
    <x:row r="26" ht="20" customHeight="1">
      <x:c r="A26" s="1"/>
      <x:c r="B26" s="3"/>
      <x:c r="C26" s="3"/>
      <x:c r="D26" s="3"/>
    </x:row>
    <x:row r="27" ht="20" customHeight="1">
      <x:c r="A27" s="1"/>
      <x:c r="B27" s="3"/>
      <x:c r="C27" s="3"/>
      <x:c r="D27" s="3"/>
    </x:row>
    <x:row r="28" ht="20" customHeight="1">
      <x:c r="A28" s="1" t="str">
        <x:v>At zero rent and zero operating cost changes, value and NOI must match Pro Forma.</x:v>
      </x:c>
      <x:c r="B28" s="3"/>
      <x:c r="C28" s="3"/>
      <x:c r="D28" s="3"/>
    </x:row>
    <x:row r="29" ht="20" customHeight="1">
      <x:c r="A29" s="1" t="str">
        <x:v>Broker fees and replacement reserves remain below NOI; their impact is in annual cash flow.</x:v>
      </x:c>
      <x:c r="B29" s="3"/>
      <x:c r="C29" s="3"/>
      <x:c r="D29" s="3"/>
    </x:row>
    <x:row r="30" ht="20" customHeight="1">
      <x:c r="A30" s="1"/>
      <x:c r="B30" s="3"/>
      <x:c r="C30" s="3"/>
      <x:c r="D30" s="3"/>
    </x:row>
    <x:row r="31" ht="20" customHeight="1">
      <x:c r="A31" s="1"/>
      <x:c r="B31" s="3"/>
      <x:c r="C31" s="3"/>
      <x:c r="D31" s="3"/>
    </x:row>
    <x:row r="32" ht="26" customHeight="1">
      <x:c r="A32" s="6" t="str">
        <x:v>Broker-sourced new-lease share</x:v>
      </x:c>
      <x:c r="B32" s="29" t="str">
        <x:v>Modeled NOI</x:v>
      </x:c>
      <x:c r="C32" s="29" t="str">
        <x:v>Cash after reserve + broker</x:v>
      </x:c>
      <x:c r="D32" s="29" t="str">
        <x:v>Interpretation</x:v>
      </x:c>
    </x:row>
    <x:row r="33" ht="20" customHeight="1">
      <x:c r="A33" s="27" t="n">
        <x:v>0</x:v>
      </x:c>
      <x:c r="B33" s="20" t="n">
        <x:f>'Pro Forma'!$B$29</x:f>
        <x:v>3958391.4488213686</x:v>
      </x:c>
      <x:c r="C33" s="20" t="n">
        <x:f>B33-Inputs!$B$6*Inputs!$B$43-'Lease Economics'!$B$14*Inputs!$B$14*Inputs!$B$26*A33</x:f>
        <x:v>3913391.4488213686</x:v>
      </x:c>
      <x:c r="D33" s="3" t="str">
        <x:v>Not a measured broker share; deals from one brokerage do not supply total channel mix</x:v>
      </x:c>
    </x:row>
    <x:row r="34" ht="20" customHeight="1">
      <x:c r="A34" s="27" t="n">
        <x:v>0.25</x:v>
      </x:c>
      <x:c r="B34" s="20" t="n">
        <x:f>'Pro Forma'!$B$29</x:f>
        <x:v>3958391.4488213686</x:v>
      </x:c>
      <x:c r="C34" s="20" t="n">
        <x:f>B34-Inputs!$B$6*Inputs!$B$43-'Lease Economics'!$B$14*Inputs!$B$14*Inputs!$B$26*A34</x:f>
        <x:v>3851270.3550713686</x:v>
      </x:c>
      <x:c r="D34" s="3" t="str">
        <x:v>Not a measured broker share; deals from one brokerage do not supply total channel mix</x:v>
      </x:c>
    </x:row>
    <x:row r="35" ht="20" customHeight="1">
      <x:c r="A35" s="30" t="n">
        <x:v>0.5</x:v>
      </x:c>
      <x:c r="B35" s="26" t="n">
        <x:f>'Pro Forma'!$B$29</x:f>
        <x:v>3958391.4488213686</x:v>
      </x:c>
      <x:c r="C35" s="26" t="n">
        <x:f>B35-Inputs!$B$6*Inputs!$B$43-'Lease Economics'!$B$14*Inputs!$B$14*Inputs!$B$26*A35</x:f>
        <x:v>3789149.2613213686</x:v>
      </x:c>
      <x:c r="D35" s="10" t="str">
        <x:v>Not a measured broker share; deals from one brokerage do not supply total channel mix</x:v>
      </x:c>
    </x:row>
    <x:row r="36" ht="20" customHeight="1">
      <x:c r="A36" s="27" t="n">
        <x:v>0.75</x:v>
      </x:c>
      <x:c r="B36" s="20" t="n">
        <x:f>'Pro Forma'!$B$29</x:f>
        <x:v>3958391.4488213686</x:v>
      </x:c>
      <x:c r="C36" s="20" t="n">
        <x:f>B36-Inputs!$B$6*Inputs!$B$43-'Lease Economics'!$B$14*Inputs!$B$14*Inputs!$B$26*A36</x:f>
        <x:v>3727028.1675713686</x:v>
      </x:c>
      <x:c r="D36" s="3" t="str">
        <x:v>Not a measured broker share; deals from one brokerage do not supply total channel mix</x:v>
      </x:c>
    </x:row>
    <x:row r="37" ht="20" customHeight="1">
      <x:c r="A37" s="27" t="n">
        <x:v>1</x:v>
      </x:c>
      <x:c r="B37" s="20" t="n">
        <x:f>'Pro Forma'!$B$29</x:f>
        <x:v>3958391.4488213686</x:v>
      </x:c>
      <x:c r="C37" s="20" t="n">
        <x:f>B37-Inputs!$B$6*Inputs!$B$43-'Lease Economics'!$B$14*Inputs!$B$14*Inputs!$B$26*A37</x:f>
        <x:v>3664907.0738213686</x:v>
      </x:c>
      <x:c r="D37" s="3" t="str">
        <x:v>Not a measured broker share; deals from one brokerage do not supply total channel mix</x:v>
      </x:c>
    </x:row>
    <x:row r="38" ht="20" customHeight="1">
      <x:c r="A38" s="1"/>
      <x:c r="B38" s="3"/>
      <x:c r="C38" s="3"/>
      <x:c r="D38" s="3"/>
    </x:row>
    <x:row r="39" ht="20" customHeight="1">
      <x:c r="A39" s="1"/>
      <x:c r="B39" s="3"/>
      <x:c r="C39" s="3"/>
      <x:c r="D39" s="3"/>
    </x:row>
    <x:row r="40" ht="20" customHeight="1">
      <x:c r="A40" s="1" t="str">
        <x:v>Internet owner-billing is controlled by Inputs B49; default 0 excludes unverified internet income AND cost.</x:v>
      </x:c>
      <x:c r="B40" s="3"/>
      <x:c r="C40" s="3"/>
      <x:c r="D40" s="3"/>
    </x:row>
    <x:row r="41" ht="20" customHeight="1">
      <x:c r="A41" s="1"/>
      <x:c r="B41" s="3"/>
      <x:c r="C41" s="3"/>
      <x:c r="D41" s="3"/>
    </x:row>
    <x:row r="42" ht="20" customHeight="1">
      <x:c r="A42" s="1"/>
      <x:c r="B42" s="3"/>
      <x:c r="C42" s="3"/>
      <x:c r="D42" s="3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23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58" hidden="0" customWidth="1"/>
  </x:cols>
  <x:sheetData>
    <x:row r="1">
      <x:c r="A1" s="2" t="str">
        <x:v>Market Evidence — Historical Asking-Rent Snapshots</x:v>
      </x:c>
      <x:c r="B1" s="2"/>
      <x:c r="C1" s="2"/>
      <x:c r="D1" s="2"/>
      <x:c r="E1" s="2"/>
      <x:c r="F1" s="2"/>
      <x:c r="G1" s="2"/>
      <x:c r="H1" s="2"/>
    </x:row>
    <x:row r="2">
      <x:c r="A2" s="1" t="str">
        <x:v>User-provided examples around October 2026; promotional offers can change weekly. These do not prove actual executed leases.</x:v>
      </x:c>
      <x:c r="B2" s="1"/>
      <x:c r="C2" s="1"/>
      <x:c r="D2" s="1"/>
      <x:c r="E2" s="1"/>
      <x:c r="F2" s="1"/>
      <x:c r="G2" s="1"/>
      <x:c r="H2" s="1"/>
    </x:row>
    <x:row r="3">
      <x:c r="A3" s="1"/>
      <x:c r="B3" s="1"/>
      <x:c r="C3" s="1"/>
      <x:c r="D3" s="1"/>
      <x:c r="E3" s="1"/>
      <x:c r="F3" s="1"/>
      <x:c r="G3" s="1"/>
      <x:c r="H3" s="1"/>
    </x:row>
    <x:row r="4" ht="26" customHeight="1">
      <x:c r="A4" s="6" t="str">
        <x:v>Property / plan</x:v>
      </x:c>
      <x:c r="B4" s="6" t="str">
        <x:v>Sq ft</x:v>
      </x:c>
      <x:c r="C4" s="6" t="str">
        <x:v>Base monthly rent</x:v>
      </x:c>
      <x:c r="D4" s="6" t="str">
        <x:v>Free months</x:v>
      </x:c>
      <x:c r="E4" s="6" t="str">
        <x:v>Broker months</x:v>
      </x:c>
      <x:c r="F4" s="6" t="str">
        <x:v>Tenant effective / month</x:v>
      </x:c>
      <x:c r="G4" s="6" t="str">
        <x:v>Owner new-lease cash / month</x:v>
      </x:c>
      <x:c r="H4" s="6" t="str">
        <x:v>Origin</x:v>
      </x:c>
    </x:row>
    <x:row r="5">
      <x:c r="A5" s="1" t="str">
        <x:v>Hew 1B5</x:v>
      </x:c>
      <x:c r="B5" s="1" t="n">
        <x:v>677</x:v>
      </x:c>
      <x:c r="C5" s="20" t="n">
        <x:v>4076</x:v>
      </x:c>
      <x:c r="D5" s="1" t="n">
        <x:v>2</x:v>
      </x:c>
      <x:c r="E5" s="1" t="n">
        <x:v>1</x:v>
      </x:c>
      <x:c r="F5" s="20" t="n">
        <x:f>C5*(12-D5)/12</x:f>
        <x:v>3396.6666666666665</x:v>
      </x:c>
      <x:c r="G5" s="20" t="n">
        <x:f>C5*(12-D5-E5)/12</x:f>
        <x:v>3057</x:v>
      </x:c>
      <x:c r="H5" s="1" t="str">
        <x:v>User observations; $70 internet fee excluded</x:v>
      </x:c>
    </x:row>
    <x:row r="6">
      <x:c r="A6" s="1" t="str">
        <x:v>Harper A3</x:v>
      </x:c>
      <x:c r="B6" s="1" t="n">
        <x:v>651</x:v>
      </x:c>
      <x:c r="C6" s="20" t="n">
        <x:v>3457</x:v>
      </x:c>
      <x:c r="D6" s="1" t="n">
        <x:v>2.5</x:v>
      </x:c>
      <x:c r="E6" s="1" t="n">
        <x:v>1</x:v>
      </x:c>
      <x:c r="F6" s="20" t="n">
        <x:f>C6*(12-D6)/12</x:f>
        <x:v>2736.7916666666665</x:v>
      </x:c>
      <x:c r="G6" s="20" t="n">
        <x:f>C6*(12-D6-E6)/12</x:f>
        <x:v>2448.7083333333335</x:v>
      </x:c>
      <x:c r="H6" s="1" t="str">
        <x:v>User observations; brokerage expense unverified</x:v>
      </x:c>
    </x:row>
    <x:row r="7">
      <x:c r="A7" s="1" t="str">
        <x:v>Alder A4</x:v>
      </x:c>
      <x:c r="B7" s="1" t="n">
        <x:v>661</x:v>
      </x:c>
      <x:c r="C7" s="20" t="n">
        <x:v>3675</x:v>
      </x:c>
      <x:c r="D7" s="1" t="n">
        <x:v>1</x:v>
      </x:c>
      <x:c r="E7" s="1" t="n">
        <x:v>0</x:v>
      </x:c>
      <x:c r="F7" s="20" t="n">
        <x:f>C7*(12-D7)/12</x:f>
        <x:v>3368.75</x:v>
      </x:c>
      <x:c r="G7" s="20" t="n">
        <x:f>C7*(12-D7-E7)/12</x:f>
        <x:v>3368.75</x:v>
      </x:c>
      <x:c r="H7" s="1" t="str">
        <x:v>User observations; 0 broker cost unverified</x:v>
      </x:c>
    </x:row>
    <x:row r="8">
      <x:c r="A8" s="1"/>
      <x:c r="B8" s="1"/>
      <x:c r="C8" s="1"/>
      <x:c r="D8" s="1"/>
      <x:c r="E8" s="1"/>
      <x:c r="F8" s="1"/>
      <x:c r="G8" s="1"/>
      <x:c r="H8" s="1"/>
    </x:row>
    <x:row r="9">
      <x:c r="A9" s="1"/>
      <x:c r="B9" s="1"/>
      <x:c r="C9" s="1"/>
      <x:c r="D9" s="1"/>
      <x:c r="E9" s="1"/>
      <x:c r="F9" s="1"/>
      <x:c r="G9" s="1"/>
      <x:c r="H9" s="1"/>
    </x:row>
    <x:row r="10">
      <x:c r="A10" s="1" t="str">
        <x:v>Hew weekly public-listing evidence</x:v>
      </x:c>
      <x:c r="B10" s="1" t="str">
        <x:v>Earlier sample: 8 listed</x:v>
      </x:c>
      <x:c r="C10" s="1" t="str">
        <x:v>Later sample: 7 listed</x:v>
      </x:c>
      <x:c r="D10" s="1"/>
      <x:c r="E10" s="1"/>
      <x:c r="F10" s="1"/>
      <x:c r="G10" s="1"/>
      <x:c r="H10" s="1"/>
    </x:row>
    <x:row r="11">
      <x:c r="A11" s="1" t="str">
        <x:v>Interpretation</x:v>
      </x:c>
      <x:c r="B11" s="1" t="str">
        <x:v>Listing count is NOT vacancy rate, occupied units, or signed-lease absorption.</x:v>
      </x:c>
      <x:c r="C11" s="1"/>
      <x:c r="D11" s="1"/>
      <x:c r="E11" s="1"/>
      <x:c r="F11" s="1"/>
      <x:c r="G11" s="1"/>
      <x:c r="H11" s="1"/>
    </x:row>
    <x:row r="12">
      <x:c r="A12" s="1"/>
      <x:c r="B12" s="1"/>
      <x:c r="C12" s="1"/>
      <x:c r="D12" s="1"/>
      <x:c r="E12" s="1"/>
      <x:c r="F12" s="1"/>
      <x:c r="G12" s="1"/>
      <x:c r="H12" s="1"/>
    </x:row>
    <x:row r="13">
      <x:c r="A13" s="1" t="str">
        <x:v>Hew 2 free months: observed near Oct 2026. Reported peak: 2.5 months.</x:v>
      </x:c>
      <x:c r="B13" s="1"/>
      <x:c r="C13" s="1"/>
      <x:c r="D13" s="1"/>
      <x:c r="E13" s="1"/>
      <x:c r="F13" s="1"/>
      <x:c r="G13" s="1"/>
      <x:c r="H13" s="1"/>
    </x:row>
    <x:row r="14">
      <x:c r="A14" s="1" t="str">
        <x:v>Hew 1-month renewal discount: leasing staff report from May 2026, not a standing rule.</x:v>
      </x:c>
      <x:c r="B14" s="1"/>
      <x:c r="C14" s="1"/>
      <x:c r="D14" s="1"/>
      <x:c r="E14" s="1"/>
      <x:c r="F14" s="1"/>
      <x:c r="G14" s="1"/>
      <x:c r="H14" s="1"/>
    </x:row>
    <x:row r="15">
      <x:c r="A15" s="1" t="str">
        <x:v>Hew 1-month commission: only broker-sourced NEW leases per user statement.</x:v>
      </x:c>
      <x:c r="B15" s="1"/>
      <x:c r="C15" s="1"/>
      <x:c r="D15" s="1"/>
      <x:c r="E15" s="1"/>
      <x:c r="F15" s="1"/>
      <x:c r="G15" s="1"/>
      <x:c r="H15" s="1"/>
    </x:row>
    <x:row r="16">
      <x:c r="A16" s="1" t="str">
        <x:v>Harper and Alder financial details are comparison hypotheses, not independently certified.</x:v>
      </x:c>
      <x:c r="B16" s="1"/>
      <x:c r="C16" s="1"/>
      <x:c r="D16" s="1"/>
      <x:c r="E16" s="1"/>
      <x:c r="F16" s="1"/>
      <x:c r="G16" s="1"/>
      <x:c r="H16" s="1"/>
    </x:row>
    <x:row r="17">
      <x:c r="A17" s="1" t="str">
        <x:v>Full-property broker-sourced lease count</x:v>
      </x:c>
      <x:c r="B17" s="1" t="str">
        <x:v>n.a.</x:v>
      </x:c>
      <x:c r="C17" s="1" t="str">
        <x:v>not verified</x:v>
      </x:c>
      <x:c r="D17" s="1" t="str"/>
      <x:c r="E17" s="1" t="str"/>
      <x:c r="F17" s="1" t="str"/>
      <x:c r="G17" s="1" t="str"/>
      <x:c r="H17" s="1" t="str">
        <x:v>No authoritative full-property lease ledger or broker-channel breakdown; company-level production not published.</x:v>
      </x:c>
    </x:row>
    <x:row r="18">
      <x:c r="A18" s="1" t="str">
        <x:v>Property-wide lease turnover and broker share</x:v>
      </x:c>
      <x:c r="B18" s="27" t="str">
        <x:v>n.a.</x:v>
      </x:c>
      <x:c r="C18" s="1" t="str">
        <x:v>Not verified from public data</x:v>
      </x:c>
      <x:c r="D18" s="1"/>
      <x:c r="E18" s="1"/>
      <x:c r="F18" s="1"/>
      <x:c r="G18" s="1"/>
      <x:c r="H18" s="1"/>
    </x:row>
    <x:row r="19">
      <x:c r="A19" s="1"/>
      <x:c r="B19" s="1"/>
      <x:c r="C19" s="1"/>
      <x:c r="D19" s="1"/>
      <x:c r="E19" s="1"/>
      <x:c r="F19" s="1"/>
      <x:c r="G19" s="1"/>
      <x:c r="H19" s="1"/>
    </x:row>
    <x:row r="20">
      <x:c r="A20" s="1" t="str">
        <x:v>NO PUBLICLY VERIFIED BUILDING-WIDE TURNOVER OR BROKER-SOURCED SHARE.</x:v>
      </x:c>
      <x:c r="B20" s="1"/>
      <x:c r="C20" s="1"/>
      <x:c r="D20" s="1"/>
      <x:c r="E20" s="1"/>
      <x:c r="F20" s="1"/>
      <x:c r="G20" s="1"/>
      <x:c r="H20" s="1"/>
    </x:row>
    <x:row r="21">
      <x:c r="A21" s="1"/>
      <x:c r="B21" s="1"/>
      <x:c r="C21" s="1"/>
      <x:c r="D21" s="1"/>
      <x:c r="E21" s="1"/>
      <x:c r="F21" s="1"/>
      <x:c r="G21" s="1"/>
      <x:c r="H21" s="1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" hidden="0" customWidth="1"/>
    <x:col min="2" max="2" width="27" hidden="0" customWidth="1"/>
    <x:col min="3" max="3" width="27" hidden="0" customWidth="1"/>
    <x:col min="4" max="4" width="65" hidden="0" customWidth="1"/>
    <x:col min="5" max="5" width="74" hidden="0" customWidth="1"/>
  </x:cols>
  <x:sheetData>
    <x:row r="1" ht="20" customHeight="1">
      <x:c r="A1" s="2" t="str">
        <x:v>Hew at 1515 — Official Boston Parcel Tax Evidence</x:v>
      </x:c>
      <x:c r="B1" s="2"/>
      <x:c r="C1" s="2"/>
      <x:c r="D1" s="2"/>
      <x:c r="E1" s="2"/>
    </x:row>
    <x:row r="2" ht="20" customHeight="1">
      <x:c r="A2" s="1" t="str">
        <x:v>Tax parcel at 1515 Commonwealth Ave; marketing/leasing address 1525 Commonwealth Ave. Reconciled against 150-unit Hew LoopNet listing.</x:v>
      </x:c>
      <x:c r="B2" s="1"/>
      <x:c r="C2" s="1"/>
      <x:c r="D2" s="1"/>
      <x:c r="E2" s="1"/>
    </x:row>
    <x:row r="3" ht="20" customHeight="1">
      <x:c r="A3" s="1"/>
      <x:c r="B3" s="1"/>
      <x:c r="C3" s="1"/>
      <x:c r="D3" s="1"/>
      <x:c r="E3" s="1"/>
    </x:row>
    <x:row r="4" ht="26" customHeight="1">
      <x:c r="A4" s="6" t="str">
        <x:v>Official recorded field</x:v>
      </x:c>
      <x:c r="B4" s="6" t="str">
        <x:v>FY2025</x:v>
      </x:c>
      <x:c r="C4" s="6" t="str">
        <x:v>FY2026</x:v>
      </x:c>
      <x:c r="D4" s="6" t="str">
        <x:v>Interpretation</x:v>
      </x:c>
      <x:c r="E4" s="6" t="str">
        <x:v>Source</x:v>
      </x:c>
    </x:row>
    <x:row r="5" ht="20" customHeight="1">
      <x:c r="A5" s="1" t="str">
        <x:v>Boston parcel ID</x:v>
      </x:c>
      <x:c r="B5" s="35" t="str">
        <x:v>2101831000</x:v>
      </x:c>
      <x:c r="C5" s="35" t="str">
        <x:v>2101831000</x:v>
      </x:c>
      <x:c r="D5" s="4" t="str">
        <x:v>Same parcel in City GIS as broker listing BRIG-...-21-01831</x:v>
      </x:c>
      <x:c r="E5" s="1" t="str">
        <x:v>Boston Assessing parcel and tax tables</x:v>
      </x:c>
    </x:row>
    <x:row r="6" ht="20" customHeight="1">
      <x:c r="A6" s="1" t="str">
        <x:v>Record address</x:v>
      </x:c>
      <x:c r="B6" s="3" t="str">
        <x:v>1515 COMMONWEALTH AV</x:v>
      </x:c>
      <x:c r="C6" s="3" t="str">
        <x:v>1515 COMMONWEALTH AV</x:v>
      </x:c>
      <x:c r="D6" s="4" t="str">
        <x:v>The rental building is marketed at 1525 Commonwealth Ave</x:v>
      </x:c>
      <x:c r="E6" s="1" t="str">
        <x:v>City FY26 property assessment parcel join</x:v>
      </x:c>
    </x:row>
    <x:row r="7" ht="20" customHeight="1">
      <x:c r="A7" s="1" t="str">
        <x:v>Property classification</x:v>
      </x:c>
      <x:c r="B7" s="3" t="str">
        <x:v>LUXURY APARTMENT</x:v>
      </x:c>
      <x:c r="C7" s="3" t="str">
        <x:v>LUXURY APARTMENT</x:v>
      </x:c>
      <x:c r="D7" s="4" t="str">
        <x:v>Tax roll classification; condo tower must not be added</x:v>
      </x:c>
      <x:c r="E7" s="1" t="str">
        <x:v>City FY26 property assessment parcel join</x:v>
      </x:c>
    </x:row>
    <x:row r="8" ht="20" customHeight="1">
      <x:c r="A8" s="1"/>
      <x:c r="B8" s="3"/>
      <x:c r="C8" s="3"/>
      <x:c r="D8" s="4"/>
      <x:c r="E8" s="1"/>
    </x:row>
    <x:row r="9" ht="20" customHeight="1">
      <x:c r="A9" s="1" t="str">
        <x:v>Land assessed value</x:v>
      </x:c>
      <x:c r="B9" s="20" t="n">
        <x:v>27588700</x:v>
      </x:c>
      <x:c r="C9" s="20" t="n">
        <x:v>27588700</x:v>
      </x:c>
      <x:c r="D9" s="4" t="str">
        <x:v>Property assessor estimate; not original land purchase cost</x:v>
      </x:c>
      <x:c r="E9" s="1" t="str">
        <x:v>City FY26 parcel; 2025 listing corroboration</x:v>
      </x:c>
    </x:row>
    <x:row r="10" ht="20" customHeight="1">
      <x:c r="A10" s="1" t="str">
        <x:v>Building assessed value</x:v>
      </x:c>
      <x:c r="B10" s="20" t="n">
        <x:v>41844000</x:v>
      </x:c>
      <x:c r="C10" s="20" t="n">
        <x:v>57685600</x:v>
      </x:c>
      <x:c r="D10" s="4" t="str">
        <x:v>FY2025 value matched in LoopNet listing</x:v>
      </x:c>
      <x:c r="E10" s="1" t="str">
        <x:v>City FY26 parcel and 2025 broker listing</x:v>
      </x:c>
    </x:row>
    <x:row r="11" ht="20" customHeight="1">
      <x:c r="A11" s="7" t="str">
        <x:v>Total assessed value</x:v>
      </x:c>
      <x:c r="B11" s="25" t="n">
        <x:v>69432700</x:v>
      </x:c>
      <x:c r="C11" s="25" t="n">
        <x:v>85274300</x:v>
      </x:c>
      <x:c r="D11" s="11" t="str">
        <x:v>Tax assessment; NOT a private-market sale price</x:v>
      </x:c>
      <x:c r="E11" s="7" t="str">
        <x:v>City taxes table</x:v>
      </x:c>
    </x:row>
    <x:row r="12" ht="20" customHeight="1">
      <x:c r="A12" s="1" t="str">
        <x:v>Base gross real estate tax</x:v>
      </x:c>
      <x:c r="B12" s="20" t="n">
        <x:v>804030.67</x:v>
      </x:c>
      <x:c r="C12" s="20" t="n">
        <x:v>1057401.32</x:v>
      </x:c>
      <x:c r="D12" s="4" t="str">
        <x:v>FY2026 = $85,274,300 × $12.40 per $1,000</x:v>
      </x:c>
      <x:c r="E12" s="1" t="str">
        <x:v>City taxes table + FY26 tax rate</x:v>
      </x:c>
    </x:row>
    <x:row r="13" ht="20" customHeight="1">
      <x:c r="A13" s="1" t="str">
        <x:v>Recorded residential-exemption credit</x:v>
      </x:c>
      <x:c r="B13" s="20" t="n">
        <x:v>0</x:v>
      </x:c>
      <x:c r="C13" s="20" t="n">
        <x:v>4353.74</x:v>
      </x:c>
      <x:c r="D13" s="4" t="str">
        <x:v>Verify actual eligibility; not assumed in the hypothetical development</x:v>
      </x:c>
      <x:c r="E13" s="1" t="str">
        <x:v>City taxes table</x:v>
      </x:c>
    </x:row>
    <x:row r="14" ht="20" customHeight="1">
      <x:c r="A14" s="1" t="str">
        <x:v>Community Preservation surcharge</x:v>
      </x:c>
      <x:c r="B14" s="20" t="n">
        <x:v>8028.73</x:v>
      </x:c>
      <x:c r="C14" s="20" t="n">
        <x:v>10518.08</x:v>
      </x:c>
      <x:c r="D14" s="4" t="str">
        <x:v>Reported CPA charge; 1% formula has assessment exclusions</x:v>
      </x:c>
      <x:c r="E14" s="1" t="str">
        <x:v>City taxes table</x:v>
      </x:c>
    </x:row>
    <x:row r="15" ht="20" customHeight="1">
      <x:c r="A15" s="7" t="str">
        <x:v>Reported net tax</x:v>
      </x:c>
      <x:c r="B15" s="25" t="n">
        <x:v>812059.4</x:v>
      </x:c>
      <x:c r="C15" s="25" t="n">
        <x:v>1063565.66</x:v>
      </x:c>
      <x:c r="D15" s="11" t="str">
        <x:v>Base gross minus recorded exemption plus CPA surcharge</x:v>
      </x:c>
      <x:c r="E15" s="7" t="str">
        <x:v>City taxes table net_tax</x:v>
      </x:c>
    </x:row>
    <x:row r="16" ht="20" customHeight="1">
      <x:c r="A16" s="1" t="str">
        <x:v>Reported total billed amount</x:v>
      </x:c>
      <x:c r="B16" s="20" t="n">
        <x:v>812059.4</x:v>
      </x:c>
      <x:c r="C16" s="20" t="n">
        <x:v>1067919.4</x:v>
      </x:c>
      <x:c r="D16" s="4" t="str">
        <x:v>FY2026 differs from net_tax by $4,353.74; bill/payment confirmation unavailable</x:v>
      </x:c>
      <x:c r="E16" s="1" t="str">
        <x:v>City taxes table total_billed_amt</x:v>
      </x:c>
    </x:row>
    <x:row r="17" ht="20" customHeight="1">
      <x:c r="A17" s="1" t="str">
        <x:v>Net tax per 150 apartments</x:v>
      </x:c>
      <x:c r="B17" s="20" t="n">
        <x:f>B15/Inputs!$B$6</x:f>
        <x:v>5413.729333333334</x:v>
      </x:c>
      <x:c r="C17" s="20" t="n">
        <x:f>C15/Inputs!$B$6</x:f>
        <x:v>7090.437733333333</x:v>
      </x:c>
      <x:c r="D17" s="4" t="str">
        <x:v>Denominator from public 150-unit Hew rental listing</x:v>
      </x:c>
      <x:c r="E17" s="1"/>
    </x:row>
    <x:row r="18" ht="20" customHeight="1">
      <x:c r="A18" s="1" t="str">
        <x:v>Effective net tax / assessed value</x:v>
      </x:c>
      <x:c r="B18" s="27" t="n">
        <x:f>B15/B11</x:f>
        <x:v>0.01169563332550801</x:v>
      </x:c>
      <x:c r="C18" s="27" t="n">
        <x:f>C15/C11</x:f>
        <x:v>0.012472288368242247</x:v>
      </x:c>
      <x:c r="D18" s="4" t="str">
        <x:v>Includes reported assessment relief / CPA treatment</x:v>
      </x:c>
      <x:c r="E18" s="1"/>
    </x:row>
    <x:row r="19" ht="20" customHeight="1">
      <x:c r="A19" s="1" t="str">
        <x:v>FY2026 Hew tax minus hypothetical market-case tax</x:v>
      </x:c>
      <x:c r="B19" s="3"/>
      <x:c r="C19" s="20" t="n">
        <x:f>C15+'Lease Economics'!B25</x:f>
        <x:v>110202.30413386854</x:v>
      </x:c>
      <x:c r="D19" s="4" t="str">
        <x:v>Cross-property context ONLY. Do not substitute directly into illustrative development project.</x:v>
      </x:c>
      <x:c r="E19" s="1"/>
    </x:row>
    <x:row r="20" ht="20" customHeight="1">
      <x:c r="A20" s="1"/>
      <x:c r="B20" s="3"/>
      <x:c r="C20" s="3"/>
      <x:c r="D20" s="3"/>
      <x:c r="E20" s="1"/>
    </x:row>
    <x:row r="21" ht="20" customHeight="1">
      <x:c r="A21" s="1"/>
      <x:c r="B21" s="3"/>
      <x:c r="C21" s="3"/>
      <x:c r="D21" s="3"/>
      <x:c r="E21" s="1"/>
    </x:row>
    <x:row r="22" ht="20" customHeight="1">
      <x:c r="A22" s="9" t="str">
        <x:v>RESEARCH BOUNDARIES</x:v>
      </x:c>
      <x:c r="B22" s="10"/>
      <x:c r="C22" s="10"/>
      <x:c r="D22" s="10"/>
      <x:c r="E22" s="9"/>
    </x:row>
    <x:row r="23" ht="20" customHeight="1">
      <x:c r="A23" s="1" t="str">
        <x:v>This is a public Boston municipal tax record, not a Hew audited operating statement or evidence of cash tax paid.</x:v>
      </x:c>
      <x:c r="B23" s="3"/>
      <x:c r="C23" s="3"/>
      <x:c r="D23" s="3"/>
      <x:c r="E23" s="1"/>
    </x:row>
    <x:row r="24" ht="20" customHeight="1">
      <x:c r="A24" s="1" t="str">
        <x:v>FY2026 recorded tax is available; Hew actual T-12 income, resident retention, staff payroll and full rent roll are not.</x:v>
      </x:c>
      <x:c r="B24" s="3"/>
      <x:c r="C24" s="3"/>
      <x:c r="D24" s="3"/>
      <x:c r="E24" s="1"/>
    </x:row>
    <x:row r="25" ht="20" customHeight="1">
      <x:c r="A25" s="1" t="str">
        <x:v>Different FY2026 Net Tax and Total Billed fields are reported separately rather than silently reconciled.</x:v>
      </x:c>
      <x:c r="B25" s="3"/>
      <x:c r="C25" s="3"/>
      <x:c r="D25" s="3"/>
      <x:c r="E25" s="1"/>
    </x:row>
    <x:row r="26" ht="20" customHeight="1">
      <x:c r="A26" s="1"/>
      <x:c r="B26" s="3"/>
      <x:c r="C26" s="3"/>
      <x:c r="D26" s="3"/>
      <x:c r="E26" s="1"/>
    </x:row>
    <x:row r="27" ht="20" customHeight="1">
      <x:c r="A27" s="1" t="str">
        <x:v>Official FY2026 parcel source</x:v>
      </x:c>
      <x:c r="B27" s="3" t="str"/>
      <x:c r="C27" s="3" t="str"/>
      <x:c r="D27" s="3" t="str"/>
      <x:c r="E27" s="1" t="str">
        <x:v>https://gisportal.boston.gov/arcgis/rest/services/Assessing/properties_boston_gov/MapServer/0/query?where=PID%3D%272101831000%27&amp;outFields=*&amp;returnGeometry=false&amp;f=pjson</x:v>
      </x:c>
    </x:row>
    <x:row r="28" ht="20" customHeight="1">
      <x:c r="A28" s="1" t="str">
        <x:v>Official FY2025 and FY2026 tax records</x:v>
      </x:c>
      <x:c r="B28" s="3" t="str"/>
      <x:c r="C28" s="3" t="str"/>
      <x:c r="D28" s="3" t="str"/>
      <x:c r="E28" s="1" t="str">
        <x:v>https://gisportal.boston.gov/arcgis/rest/services/Assessing/properties_boston_gov/MapServer/12/query?where=parcel_id%3D%272101831000%27&amp;outFields=*&amp;returnGeometry=false&amp;f=pjson</x:v>
      </x:c>
    </x:row>
    <x:row r="29" ht="20" customHeight="1">
      <x:c r="A29" s="1" t="str">
        <x:v>FY2026 tax rate, City of Boston</x:v>
      </x:c>
      <x:c r="B29" s="3" t="str"/>
      <x:c r="C29" s="3" t="str"/>
      <x:c r="D29" s="3" t="str"/>
      <x:c r="E29" s="1" t="str">
        <x:v>https://content.boston.gov/departments/assessing/how-we-tax-your-property</x:v>
      </x:c>
    </x:row>
    <x:row r="30" ht="20" customHeight="1">
      <x:c r="A30" s="1" t="str">
        <x:v>Corroborating 150-unit Hew 2025 commercial listing</x:v>
      </x:c>
      <x:c r="B30" s="3" t="str"/>
      <x:c r="C30" s="3" t="str"/>
      <x:c r="D30" s="3" t="str"/>
      <x:c r="E30" s="1" t="str">
        <x:v>https://www.loopnet.com/Listing/1525-Commonwealth-Ave-Boston-MA/36755412/</x:v>
      </x:c>
    </x:row>
    <x:row r="31" ht="20" customHeight="1">
      <x:c r="A31" s="1"/>
      <x:c r="B31" s="3"/>
      <x:c r="C31" s="3"/>
      <x:c r="D31" s="3"/>
      <x:c r="E31" s="1"/>
    </x:row>
    <x:row r="32" ht="20" customHeight="1">
      <x:c r="A32" s="1"/>
      <x:c r="B32" s="3"/>
      <x:c r="C32" s="3"/>
      <x:c r="D32" s="3"/>
      <x:c r="E32" s="1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6" hidden="0" customWidth="1"/>
    <x:col min="2" max="2" width="19" hidden="0" customWidth="1"/>
    <x:col min="3" max="3" width="19" hidden="0" customWidth="1"/>
    <x:col min="4" max="4" width="71" hidden="0" customWidth="1"/>
  </x:cols>
  <x:sheetData>
    <x:row r="1" ht="20" customHeight="1">
      <x:c r="A1" s="2" t="str">
        <x:v>Demand – Census data</x:v>
      </x:c>
      <x:c r="B1" s="2"/>
      <x:c r="C1" s="2"/>
      <x:c r="D1" s="2"/>
    </x:row>
    <x:row r="2" ht="20" customHeight="1">
      <x:c r="A2" s="1" t="str">
        <x:v>Source: U.S. Census Bureau, ACS 2024 1-year estimates (some 5-year as noted), via Census Reporter, 'Boston City--Allston, Brighton &amp; Fenway PUMA, MA'. Many figures have margins of error of 10%+.</x:v>
      </x:c>
      <x:c r="B2" s="1"/>
      <x:c r="C2" s="1"/>
      <x:c r="D2" s="1"/>
    </x:row>
    <x:row r="3" ht="20" customHeight="1">
      <x:c r="A3" s="1"/>
      <x:c r="B3" s="1"/>
      <x:c r="C3" s="1"/>
      <x:c r="D3" s="1"/>
    </x:row>
    <x:row r="4" ht="26" customHeight="1">
      <x:c r="A4" s="6" t="str">
        <x:v>Metric</x:v>
      </x:c>
      <x:c r="B4" s="6" t="str">
        <x:v>Allston–Brighton–Fenway</x:v>
      </x:c>
      <x:c r="C4" s="6" t="str">
        <x:v>Massachusetts</x:v>
      </x:c>
      <x:c r="D4" s="6" t="str">
        <x:v>Why it matters</x:v>
      </x:c>
    </x:row>
    <x:row r="5" ht="20" customHeight="1">
      <x:c r="A5" s="1" t="str">
        <x:v>Population</x:v>
      </x:c>
      <x:c r="B5" s="3" t="n">
        <x:v>114374</x:v>
      </x:c>
      <x:c r="C5" s="3"/>
      <x:c r="D5" s="3" t="str">
        <x:v>Scale of the submarket</x:v>
      </x:c>
    </x:row>
    <x:row r="6" ht="20" customHeight="1">
      <x:c r="A6" s="1" t="str">
        <x:v>Median age</x:v>
      </x:c>
      <x:c r="B6" s="3" t="n">
        <x:v>26.2</x:v>
      </x:c>
      <x:c r="C6" s="3" t="n">
        <x:v>40.1</x:v>
      </x:c>
      <x:c r="D6" s="3" t="str">
        <x:v>Very young market: students and early-career renters</x:v>
      </x:c>
    </x:row>
    <x:row r="7" ht="20" customHeight="1">
      <x:c r="A7" s="1" t="str">
        <x:v>Share of population aged 20–29</x:v>
      </x:c>
      <x:c r="B7" s="27" t="n">
        <x:v>0.4</x:v>
      </x:c>
      <x:c r="C7" s="3"/>
      <x:c r="D7" s="3" t="str">
        <x:v>Core renter age group</x:v>
      </x:c>
    </x:row>
    <x:row r="8" ht="20" customHeight="1">
      <x:c r="A8" s="1" t="str">
        <x:v>Persons per household</x:v>
      </x:c>
      <x:c r="B8" s="3" t="n">
        <x:v>1.9</x:v>
      </x:c>
      <x:c r="C8" s="3" t="n">
        <x:v>2.4</x:v>
      </x:c>
      <x:c r="D8" s="3" t="str">
        <x:v>Small households point to studios and 1-bedrooms</x:v>
      </x:c>
    </x:row>
    <x:row r="9" ht="20" customHeight="1">
      <x:c r="A9" s="1" t="str">
        <x:v>Renter-occupied share</x:v>
      </x:c>
      <x:c r="B9" s="27" t="n">
        <x:v>0.8</x:v>
      </x:c>
      <x:c r="C9" s="3"/>
      <x:c r="D9" s="3" t="str">
        <x:v>Overwhelmingly a rental market</x:v>
      </x:c>
    </x:row>
    <x:row r="10" ht="20" customHeight="1">
      <x:c r="A10" s="1" t="str">
        <x:v>Occupied share of housing units</x:v>
      </x:c>
      <x:c r="B10" s="27" t="n">
        <x:v>0.94</x:v>
      </x:c>
      <x:c r="C10" s="3"/>
      <x:c r="D10" s="3" t="str">
        <x:v>~6% vacancy; supports the vacancy input</x:v>
      </x:c>
    </x:row>
    <x:row r="11" ht="20" customHeight="1">
      <x:c r="A11" s="1" t="str">
        <x:v>Moved since previous year</x:v>
      </x:c>
      <x:c r="B11" s="27" t="n">
        <x:v>0.315</x:v>
      </x:c>
      <x:c r="C11" s="3" t="n">
        <x:v>0.108</x:v>
      </x:c>
      <x:c r="D11" s="3" t="str">
        <x:v>High turnover: steady leasing demand, retention matters</x:v>
      </x:c>
    </x:row>
    <x:row r="12" ht="20" customHeight="1">
      <x:c r="A12" s="1" t="str">
        <x:v>Median household income</x:v>
      </x:c>
      <x:c r="B12" s="3" t="n">
        <x:v>80614</x:v>
      </x:c>
      <x:c r="C12" s="3" t="n">
        <x:v>104828</x:v>
      </x:c>
      <x:c r="D12" s="3" t="str">
        <x:v>Anchor for affordability</x:v>
      </x:c>
    </x:row>
    <x:row r="13" ht="20" customHeight="1">
      <x:c r="A13" s="1" t="str">
        <x:v>Persons below poverty line</x:v>
      </x:c>
      <x:c r="B13" s="27" t="n">
        <x:v>0.203</x:v>
      </x:c>
      <x:c r="C13" s="3" t="n">
        <x:v>0.097</x:v>
      </x:c>
      <x:c r="D13" s="3" t="str">
        <x:v>Supports the case for affordable units</x:v>
      </x:c>
    </x:row>
    <x:row r="14" ht="20" customHeight="1">
      <x:c r="A14" s="1" t="str">
        <x:v>Commute by public transit</x:v>
      </x:c>
      <x:c r="B14" s="27" t="n">
        <x:v>0.28</x:v>
      </x:c>
      <x:c r="C14" s="3"/>
      <x:c r="D14" s="3" t="str">
        <x:v>Transit access is a key amenity</x:v>
      </x:c>
    </x:row>
    <x:row r="15" ht="20" customHeight="1">
      <x:c r="A15" s="1" t="str">
        <x:v>Commute by walking</x:v>
      </x:c>
      <x:c r="B15" s="27" t="n">
        <x:v>0.21</x:v>
      </x:c>
      <x:c r="C15" s="3"/>
      <x:c r="D15" s="3" t="str">
        <x:v>Walkability matters</x:v>
      </x:c>
    </x:row>
    <x:row r="16" ht="20" customHeight="1">
      <x:c r="A16" s="1" t="str">
        <x:v>Median value, owner-occupied units (5-yr)</x:v>
      </x:c>
      <x:c r="B16" s="3" t="n">
        <x:v>649900</x:v>
      </x:c>
      <x:c r="C16" s="3" t="n">
        <x:v>607400</x:v>
      </x:c>
      <x:c r="D16" s="3" t="str">
        <x:v>Ownership is expensive, keeping households renting</x:v>
      </x:c>
    </x:row>
    <x:row r="17" ht="20" customHeight="1">
      <x:c r="A17" s="1"/>
      <x:c r="B17" s="3"/>
      <x:c r="C17" s="3"/>
      <x:c r="D17" s="3"/>
    </x:row>
    <x:row r="18" ht="20" customHeight="1">
      <x:c r="A18" s="1" t="str">
        <x:v>Note: this area includes Fenway, which has many students. For Brighton only, pull the census tracts around Hew on data.census.gov.</x:v>
      </x:c>
      <x:c r="B18" s="3"/>
      <x:c r="C18" s="3"/>
      <x:c r="D18" s="3"/>
    </x:row>
    <x:row r="19" ht="20" customHeight="1">
      <x:c r="A19" s="1"/>
      <x:c r="B19" s="3"/>
      <x:c r="C19" s="3"/>
      <x:c r="D19" s="3"/>
    </x:row>
    <x:row r="20" ht="20" customHeight="1">
      <x:c r="A20" s="1" t="str">
        <x:v>Historical context: this PUMA includes Fenway and is NOT the catchment around Hew.</x:v>
      </x:c>
      <x:c r="B20" s="3"/>
      <x:c r="C20" s="3"/>
      <x:c r="D20" s="3"/>
    </x:row>
    <x:row r="21" ht="20" customHeight="1">
      <x:c r="A21" s="1" t="str">
        <x:v>For a site decision, obtain ACS 5-year tract tables and document vintage / spatial boundaries.</x:v>
      </x:c>
      <x:c r="B21" s="3"/>
      <x:c r="C21" s="3"/>
      <x:c r="D21" s="3"/>
    </x:row>
    <x:row r="22" ht="20" customHeight="1">
      <x:c r="A22" s="1"/>
      <x:c r="B22" s="3"/>
      <x:c r="C22" s="3"/>
      <x:c r="D22" s="3"/>
    </x:row>
    <x:row r="23" ht="20" customHeight="1">
      <x:c r="A23" s="1"/>
      <x:c r="B23" s="3"/>
      <x:c r="C23" s="3"/>
      <x:c r="D23" s="3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2" hidden="0" customWidth="1"/>
    <x:col min="2" max="2" width="19" hidden="0" customWidth="1"/>
    <x:col min="3" max="3" width="19" hidden="0" customWidth="1"/>
    <x:col min="4" max="4" width="88" hidden="0" customWidth="1"/>
  </x:cols>
  <x:sheetData>
    <x:row r="1" ht="20" customHeight="1">
      <x:c r="A1" s="2" t="str">
        <x:v>Model Audit — Reconciliation and Public-Data Limits</x:v>
      </x:c>
      <x:c r="B1" s="2"/>
      <x:c r="C1" s="2"/>
      <x:c r="D1" s="2"/>
    </x:row>
    <x:row r="2" ht="20" customHeight="1">
      <x:c r="A2" s="1"/>
      <x:c r="B2" s="1"/>
      <x:c r="C2" s="1"/>
      <x:c r="D2" s="1"/>
    </x:row>
    <x:row r="3" ht="26" customHeight="1">
      <x:c r="A3" s="6" t="str">
        <x:v>Reconciliation</x:v>
      </x:c>
      <x:c r="B3" s="6" t="str">
        <x:v>Difference (USD)</x:v>
      </x:c>
      <x:c r="C3" s="6" t="str">
        <x:v>Expected</x:v>
      </x:c>
      <x:c r="D3" s="6" t="str">
        <x:v>Meaning</x:v>
      </x:c>
    </x:row>
    <x:row r="4" ht="20" customHeight="1">
      <x:c r="A4" s="1"/>
      <x:c r="B4" s="1"/>
      <x:c r="C4" s="1"/>
      <x:c r="D4" s="1"/>
    </x:row>
    <x:row r="5" ht="20" customHeight="1">
      <x:c r="A5" s="1" t="str">
        <x:v>Expense inputs total</x:v>
      </x:c>
      <x:c r="B5" s="36" t="n">
        <x:f>Inputs!B44-SUM(Inputs!B35:B43)</x:f>
        <x:v>0</x:v>
      </x:c>
      <x:c r="C5" s="36" t="n">
        <x:v>0</x:v>
      </x:c>
      <x:c r="D5" s="3" t="str">
        <x:v>$7,180 per unit including $300 replacement reserve</x:v>
      </x:c>
    </x:row>
    <x:row r="6" ht="20" customHeight="1">
      <x:c r="A6" s="1" t="str">
        <x:v>Expense ex-reserve and conditional Internet cost</x:v>
      </x:c>
      <x:c r="B6" s="36" t="n">
        <x:f>Inputs!B45-(Inputs!B44-Inputs!B43-Inputs!B42*(1-Inputs!B49))</x:f>
        <x:v>0</x:v>
      </x:c>
      <x:c r="C6" s="36" t="n">
        <x:v>0</x:v>
      </x:c>
      <x:c r="D6" s="3" t="str">
        <x:v>$6,400 if owner Internet billing unverified; $6,880 if owner bills fee</x:v>
      </x:c>
    </x:row>
    <x:row r="7" ht="20" customHeight="1">
      <x:c r="A7" s="1" t="str">
        <x:v>Market NOI operating bridge</x:v>
      </x:c>
      <x:c r="B7" s="36" t="n">
        <x:f>'Lease Economics'!B26-SUM('Lease Economics'!B20:B22,'Lease Economics'!B25)</x:f>
        <x:v>0</x:v>
      </x:c>
      <x:c r="C7" s="36" t="n">
        <x:v>0</x:v>
      </x:c>
      <x:c r="D7" s="3" t="str">
        <x:v>NOI = gross income less current expenses and tax</x:v>
      </x:c>
    </x:row>
    <x:row r="8" ht="20" customHeight="1">
      <x:c r="A8" s="1" t="str">
        <x:v>Inclusionary NOI operating bridge</x:v>
      </x:c>
      <x:c r="B8" s="36" t="n">
        <x:f>'Lease Economics'!C26-SUM('Lease Economics'!C20:C22,'Lease Economics'!C25)</x:f>
        <x:v>0</x:v>
      </x:c>
      <x:c r="C8" s="36" t="n">
        <x:v>0</x:v>
      </x:c>
      <x:c r="D8" s="3" t="str">
        <x:v>All cases use the same cost drivers</x:v>
      </x:c>
    </x:row>
    <x:row r="9" ht="20" customHeight="1">
      <x:c r="A9" s="1" t="str">
        <x:v>Market loaded-tax value reconciliation</x:v>
      </x:c>
      <x:c r="B9" s="36" t="n">
        <x:f>'Lease Economics'!B24-'Lease Economics'!B26/Inputs!B29</x:f>
        <x:v>0</x:v>
      </x:c>
      <x:c r="C9" s="36" t="n">
        <x:v>0</x:v>
      </x:c>
      <x:c r="D9" s="3" t="str">
        <x:v>Modeled tax expense feeds directly into valuation</x:v>
      </x:c>
    </x:row>
    <x:row r="10" ht="20" customHeight="1">
      <x:c r="A10" s="1" t="str">
        <x:v>Mixed-income loaded-tax value reconciliation</x:v>
      </x:c>
      <x:c r="B10" s="36" t="n">
        <x:f>'Lease Economics'!C24-'Lease Economics'!C26/Inputs!B29</x:f>
        <x:v>0</x:v>
      </x:c>
      <x:c r="C10" s="36" t="n">
        <x:v>0</x:v>
      </x:c>
      <x:c r="D10" s="3" t="str">
        <x:v>No independent and inconsistent tax estimate</x:v>
      </x:c>
    </x:row>
    <x:row r="11" ht="20" customHeight="1">
      <x:c r="A11" s="1" t="str">
        <x:v>Market cost subtotal</x:v>
      </x:c>
      <x:c r="B11" s="36" t="n">
        <x:f>'Pro Forma'!B17-SUM('Pro Forma'!B13:B16)</x:f>
        <x:v>0</x:v>
      </x:c>
      <x:c r="C11" s="36" t="n">
        <x:v>0</x:v>
      </x:c>
      <x:c r="D11" s="3" t="str">
        <x:v>Historical land allocation is not a current land bid</x:v>
      </x:c>
    </x:row>
    <x:row r="12" ht="20" customHeight="1">
      <x:c r="A12" s="1" t="str">
        <x:v>Mixed-income unit mix</x:v>
      </x:c>
      <x:c r="B12" s="36" t="n">
        <x:f>'Lease Economics'!C5-SUM('Lease Economics'!C6:C8)</x:f>
        <x:v>0</x:v>
      </x:c>
      <x:c r="C12" s="36" t="n">
        <x:v>0</x:v>
      </x:c>
      <x:c r="D12" s="3" t="str">
        <x:v>Restricted, voucher and market units total 150</x:v>
      </x:c>
    </x:row>
    <x:row r="13" ht="20" customHeight="1">
      <x:c r="A13" s="1" t="str">
        <x:v>Income / pro forma market reconciliation</x:v>
      </x:c>
      <x:c r="B13" s="36" t="n">
        <x:f>'Pro Forma'!B25-'Lease Economics'!B20</x:f>
        <x:v>0</x:v>
      </x:c>
      <x:c r="C13" s="36" t="n">
        <x:v>0</x:v>
      </x:c>
      <x:c r="D13" s="3" t="str">
        <x:v>One authoritative lease-economics calculation</x:v>
      </x:c>
    </x:row>
    <x:row r="14" ht="20" customHeight="1">
      <x:c r="A14" s="1" t="str">
        <x:v>Sensitivity base rent reconciliation</x:v>
      </x:c>
      <x:c r="B14" s="36" t="n">
        <x:f>Sensitivity!B7-'Pro Forma'!B29</x:f>
        <x:v>4.656612873077393e-10</x:v>
      </x:c>
      <x:c r="C14" s="36" t="n">
        <x:v>0</x:v>
      </x:c>
      <x:c r="D14" s="3" t="str">
        <x:v>Zero rent change must match market NOI</x:v>
      </x:c>
    </x:row>
    <x:row r="15" ht="20" customHeight="1">
      <x:c r="A15" s="1" t="str">
        <x:v>Sensitivity base expense reconciliation</x:v>
      </x:c>
      <x:c r="B15" s="36" t="n">
        <x:f>Sensitivity!B15-'Pro Forma'!B29</x:f>
        <x:v>4.656612873077393e-10</x:v>
      </x:c>
      <x:c r="C15" s="36" t="n">
        <x:v>0</x:v>
      </x:c>
      <x:c r="D15" s="3" t="str">
        <x:v>Zero expense change must match market NOI</x:v>
      </x:c>
    </x:row>
    <x:row r="16" ht="20" customHeight="1">
      <x:c r="A16" s="1" t="str">
        <x:v>Sensitivity base concessions reconciliation</x:v>
      </x:c>
      <x:c r="B16" s="36" t="n">
        <x:f>Sensitivity!B23-'Pro Forma'!B29</x:f>
        <x:v>4.656612873077393e-10</x:v>
      </x:c>
      <x:c r="C16" s="36" t="n">
        <x:v>0</x:v>
      </x:c>
      <x:c r="D16" s="3" t="str">
        <x:v>2-month new-lease concession must match market NOI</x:v>
      </x:c>
    </x:row>
    <x:row r="17" ht="20" customHeight="1">
      <x:c r="A17" s="1" t="str">
        <x:v>Hew FY2026 assessment land + building</x:v>
      </x:c>
      <x:c r="B17" s="36" t="n">
        <x:f>'Hew Tax Evidence'!C11-SUM('Hew Tax Evidence'!C9:C10)</x:f>
        <x:v>0</x:v>
      </x:c>
      <x:c r="C17" s="36" t="n">
        <x:v>0</x:v>
      </x:c>
      <x:c r="D17" s="3" t="str">
        <x:v>Official city assessed value components must sum</x:v>
      </x:c>
    </x:row>
    <x:row r="18" ht="20" customHeight="1">
      <x:c r="A18" s="1" t="str">
        <x:v>Hew FY2025 assessment land + building</x:v>
      </x:c>
      <x:c r="B18" s="36" t="n">
        <x:f>'Hew Tax Evidence'!B11-SUM('Hew Tax Evidence'!B9:B10)</x:f>
        <x:v>0</x:v>
      </x:c>
      <x:c r="C18" s="36" t="n">
        <x:v>0</x:v>
      </x:c>
      <x:c r="D18" s="3" t="str">
        <x:v>Prior fiscal year assessment components must sum</x:v>
      </x:c>
    </x:row>
    <x:row r="19" ht="20" customHeight="1">
      <x:c r="A19" s="1" t="str">
        <x:v>Hew FY2026 reported net tax reconciliation</x:v>
      </x:c>
      <x:c r="B19" s="36" t="n">
        <x:f>'Hew Tax Evidence'!C15-('Hew Tax Evidence'!C12-'Hew Tax Evidence'!C13+'Hew Tax Evidence'!C14)</x:f>
        <x:v>-2.3283064365386963e-10</x:v>
      </x:c>
      <x:c r="C19" s="36" t="n">
        <x:v>0</x:v>
      </x:c>
      <x:c r="D19" s="3" t="str">
        <x:v>Gross less exemption + CPA surcharge matches published net tax</x:v>
      </x:c>
    </x:row>
    <x:row r="20" ht="20" customHeight="1">
      <x:c r="A20" s="1" t="str">
        <x:v>Hew FY2026 statutory rate reconciliation</x:v>
      </x:c>
      <x:c r="B20" s="36" t="n">
        <x:f>'Hew Tax Evidence'!C12-'Hew Tax Evidence'!C11*Inputs!B30</x:f>
        <x:v>0</x:v>
      </x:c>
      <x:c r="C20" s="36" t="n">
        <x:v>0</x:v>
      </x:c>
      <x:c r="D20" s="3" t="str">
        <x:v>$12.40 per $1,000 of FY2026 city assessed value</x:v>
      </x:c>
    </x:row>
    <x:row r="21" ht="20" customHeight="1">
      <x:c r="A21" s="1" t="str">
        <x:v>Hew FY2026 total billed reconciliation</x:v>
      </x:c>
      <x:c r="B21" s="36" t="n">
        <x:f>'Hew Tax Evidence'!C16-('Hew Tax Evidence'!C15+'Hew Tax Evidence'!C13)</x:f>
        <x:v>0</x:v>
      </x:c>
      <x:c r="C21" s="36" t="n">
        <x:v>0</x:v>
      </x:c>
      <x:c r="D21" s="3" t="str">
        <x:v>Total billed vs net tax recorded offset</x:v>
      </x:c>
    </x:row>
    <x:row r="22" ht="20" customHeight="1">
      <x:c r="A22" s="1"/>
      <x:c r="B22" s="3"/>
      <x:c r="C22" s="3"/>
      <x:c r="D22" s="3"/>
    </x:row>
    <x:row r="23" ht="20" customHeight="1">
      <x:c r="A23" s="9" t="str">
        <x:v>KEY UNVERIFIED SOURCES / BOUNDARIES</x:v>
      </x:c>
      <x:c r="B23" s="10"/>
      <x:c r="C23" s="10"/>
      <x:c r="D23" s="10"/>
    </x:row>
    <x:row r="24" ht="20" customHeight="1">
      <x:c r="A24" s="1" t="str">
        <x:v>Hew FY2026 municipal net tax is verified; no actual Hew T-12, rent roll, property insurance, staffing, or cash tax payment record.</x:v>
      </x:c>
      <x:c r="B24" s="3"/>
      <x:c r="C24" s="3"/>
      <x:c r="D24" s="3"/>
    </x:row>
    <x:row r="25" ht="20" customHeight="1">
      <x:c r="A25" s="1" t="str">
        <x:v>$7,180 cost COMPONENT budget is not observed; $300 reserve is below NOI, $480 vendor cost applies ONLY when owner bills fee.</x:v>
      </x:c>
      <x:c r="B25" s="3"/>
      <x:c r="C25" s="3"/>
      <x:c r="D25" s="3"/>
    </x:row>
    <x:row r="26" ht="20" customHeight="1">
      <x:c r="A26" s="1" t="str">
        <x:v>Hew property tax belongs to its own tax parcel; the separate new-build illustration still models tax using a loaded cap.</x:v>
      </x:c>
      <x:c r="B26" s="3"/>
      <x:c r="C26" s="3"/>
      <x:c r="D26" s="3"/>
    </x:row>
    <x:row r="27" ht="20" customHeight="1">
      <x:c r="A27" s="1" t="str">
        <x:v>Tenant apartment utilities and renters insurance are not owner-paid; common-area systems and property insurance remain cost scenarios.</x:v>
      </x:c>
      <x:c r="B27" s="3"/>
      <x:c r="C27" s="3"/>
      <x:c r="D27" s="3"/>
    </x:row>
    <x:row r="28" ht="20" customHeight="1">
      <x:c r="A28" s="1" t="str">
        <x:v>Internet $70 fee payee UNKNOWN; conservative scenario (Inputs B49=0) includes neither owner-billed fee nor vendor procurement.</x:v>
      </x:c>
      <x:c r="B28" s="3"/>
      <x:c r="C28" s="3"/>
      <x:c r="D28" s="3"/>
    </x:row>
    <x:row r="29" ht="20" customHeight="1">
      <x:c r="A29" s="1" t="str">
        <x:v>New/renewal concessions are market observations, not proof of executed leases, full turnover, or take-up frequency.</x:v>
      </x:c>
      <x:c r="B29" s="3"/>
      <x:c r="C29" s="3"/>
      <x:c r="D29" s="3"/>
    </x:row>
    <x:row r="30" ht="20" customHeight="1">
      <x:c r="A30" s="1"/>
      <x:c r="B30" s="3"/>
      <x:c r="C30" s="3"/>
      <x:c r="D30" s="3"/>
    </x:row>
    <x:row r="31" ht="20" customHeight="1">
      <x:c r="A31" s="1"/>
      <x:c r="B31" s="3"/>
      <x:c r="C31" s="3"/>
      <x:c r="D31" s="3"/>
    </x:row>
    <x:row r="32" ht="20" customHeight="1">
      <x:c r="A32" s="1" t="str">
        <x:v>2026 BHA ZIP 02135 payment standards are public but are NOT approved owner rents; voucher mode is illustrative.</x:v>
      </x:c>
      <x:c r="B32" s="3"/>
      <x:c r="C32" s="3"/>
      <x:c r="D32" s="3"/>
    </x:row>
    <x:row r="33" ht="20" customHeight="1">
      <x:c r="A33" s="1" t="str">
        <x:v>The 17% + 3% Option B is a hypothetical post-2024 site case; rounding, AMI distribution and compliance need official review.</x:v>
      </x:c>
      <x:c r="B33" s="3"/>
      <x:c r="C33" s="3"/>
      <x:c r="D33" s="3"/>
    </x:row>
    <x:row r="34" ht="20" customHeight="1">
      <x:c r="A34" s="1" t="str">
        <x:v>Public availability cannot be equated with occupancy; source periods vary between FY2025, FY2026, 2024 PUMA and weekly quotes.</x:v>
      </x:c>
      <x:c r="B34" s="3"/>
      <x:c r="C34" s="3"/>
      <x:c r="D34" s="3"/>
    </x:row>
    <x:row r="35" ht="20" customHeight="1">
      <x:c r="A35" s="1" t="str">
        <x:v>No Hew purchase-price, sale terms, site payroll, full building rent mix or development invoices; no investment recommendation.</x:v>
      </x:c>
      <x:c r="B35" s="3"/>
      <x:c r="C35" s="3"/>
      <x:c r="D35" s="3"/>
    </x:row>
    <x:row r="36" ht="20" customHeight="1">
      <x:c r="A36" s="1"/>
      <x:c r="B36" s="3"/>
      <x:c r="C36" s="3"/>
      <x:c r="D36" s="3"/>
    </x:row>
    <x:row r="37" ht="20" customHeight="1">
      <x:c r="A37" s="79" t="str">
        <x:v>MIXED-INCOME HOUSING / VOUCHER AUDIT</x:v>
      </x:c>
      <x:c r="B37" s="80"/>
      <x:c r="C37" s="80"/>
      <x:c r="D37" s="80"/>
    </x:row>
    <x:row r="38">
      <x:c r="A38" s="40" t="str">
        <x:v>Total home count</x:v>
      </x:c>
      <x:c r="B38" s="81" t="n">
        <x:f>'Affordable Housing'!B34-Inputs!$B$6</x:f>
        <x:v>0</x:v>
      </x:c>
      <x:c r="C38" s="81" t="n">
        <x:v>0</x:v>
      </x:c>
      <x:c r="D38" s="40" t="str">
        <x:v>Selected bedroom inventory must equal total project units.</x:v>
      </x:c>
    </x:row>
    <x:row r="39">
      <x:c r="A39" s="40" t="str">
        <x:v>Restricted unit count</x:v>
      </x:c>
      <x:c r="B39" s="81" t="n">
        <x:f>'Affordable Housing'!C34-'Affordable Housing'!B11</x:f>
        <x:v>0</x:v>
      </x:c>
      <x:c r="C39" s="81" t="n">
        <x:v>0</x:v>
      </x:c>
      <x:c r="D39" s="40" t="str">
        <x:v>26 restricted homes; model uses independently rounded 17%.</x:v>
      </x:c>
    </x:row>
    <x:row r="40">
      <x:c r="A40" s="40" t="str">
        <x:v>Voucher unit count</x:v>
      </x:c>
      <x:c r="B40" s="81" t="n">
        <x:f>'Affordable Housing'!D34-'Affordable Housing'!B12</x:f>
        <x:v>0</x:v>
      </x:c>
      <x:c r="C40" s="81" t="n">
        <x:v>0</x:v>
      </x:c>
      <x:c r="D40" s="40" t="str">
        <x:v>5 vouchers; model uses independently rounded 3%.</x:v>
      </x:c>
    </x:row>
    <x:row r="41">
      <x:c r="A41" s="40" t="str">
        <x:v>Bedroom-mix arithmetic</x:v>
      </x:c>
      <x:c r="B41" s="81" t="n">
        <x:f>SUM('Affordable Housing'!P31:P33)</x:f>
        <x:v>0</x:v>
      </x:c>
      <x:c r="C41" s="81" t="n">
        <x:v>0</x:v>
      </x:c>
      <x:c r="D41" s="40" t="str">
        <x:v>Each type: market + restricted + voucher must equal that bedroom count.</x:v>
      </x:c>
    </x:row>
    <x:row r="42">
      <x:c r="A42" s="40" t="str">
        <x:v>Market unit count</x:v>
      </x:c>
      <x:c r="B42" s="81" t="n">
        <x:f>'Lease Economics'!C6-'Affordable Housing'!E34</x:f>
        <x:v>0</x:v>
      </x:c>
      <x:c r="C42" s="81" t="n">
        <x:v>0</x:v>
      </x:c>
      <x:c r="D42" s="40" t="str">
        <x:v>119 market homes from the assumed mix.</x:v>
      </x:c>
    </x:row>
    <x:row r="43">
      <x:c r="A43" s="40" t="str">
        <x:v>Restricted annual rent bridge</x:v>
      </x:c>
      <x:c r="B43" s="81" t="n">
        <x:f>'Lease Economics'!C10-'Affordable Housing'!I34</x:f>
        <x:v>0</x:v>
      </x:c>
      <x:c r="C43" s="81" t="n">
        <x:v>0</x:v>
      </x:c>
      <x:c r="D43" s="40" t="str">
        <x:v>By-bedroom 2025 limits less entered utility allowance, if any.</x:v>
      </x:c>
    </x:row>
    <x:row r="44">
      <x:c r="A44" s="40" t="str">
        <x:v>Voucher annual rent bridge</x:v>
      </x:c>
      <x:c r="B44" s="81" t="n">
        <x:f>'Lease Economics'!C9-'Affordable Housing'!E34*Inputs!$B$14*12-'Affordable Housing'!O34</x:f>
        <x:v>0</x:v>
      </x:c>
      <x:c r="C44" s="81" t="n">
        <x:v>0</x:v>
      </x:c>
      <x:c r="D44" s="40" t="str">
        <x:v>Separate voucher rents, never untested default market rents.</x:v>
      </x:c>
    </x:row>
    <x:row r="45">
      <x:c r="A45" s="40" t="str">
        <x:v>Gross potential rent bridge</x:v>
      </x:c>
      <x:c r="B45" s="81" t="n">
        <x:f>'Lease Economics'!C11-'Affordable Housing'!B42</x:f>
        <x:v>0</x:v>
      </x:c>
      <x:c r="C45" s="81" t="n">
        <x:v>0</x:v>
      </x:c>
      <x:c r="D45" s="40" t="str">
        <x:v>Market + restricted + voucher annual potential rents.</x:v>
      </x:c>
    </x:row>
    <x:row r="46">
      <x:c r="A46" s="40" t="str">
        <x:v>Voucher selector (1 or 2)</x:v>
      </x:c>
      <x:c r="B46" s="81" t="n">
        <x:f>IF(OR('Affordable Housing'!B21=1,'Affordable Housing'!B21=2),0,1)</x:f>
        <x:v>0</x:v>
      </x:c>
      <x:c r="C46" s="81" t="n">
        <x:v>0</x:v>
      </x:c>
      <x:c r="D46" s="40" t="str">
        <x:v>0 = valid choice; 1 = invalid input.</x:v>
      </x:c>
    </x:row>
    <x:row r="47">
      <x:c r="A47" s="40" t="str">
        <x:v>Restricted maximum threshold</x:v>
      </x:c>
      <x:c r="B47" s="81" t="n">
        <x:f>SUM(MAX(0,'Affordable Housing'!H31-'Affordable Housing'!F31),MAX(0,'Affordable Housing'!H32-'Affordable Housing'!F32),MAX(0,'Affordable Housing'!H33-'Affordable Housing'!F33))</x:f>
        <x:v>0</x:v>
      </x:c>
      <x:c r="C47" s="81" t="n">
        <x:v>0</x:v>
      </x:c>
      <x:c r="D47" s="40" t="str">
        <x:v>Selected restricted net rents do not exceed entered table limits.</x:v>
      </x:c>
    </x:row>
    <x:row r="48">
      <x:c r="A48" s="40" t="str">
        <x:v>Restricted share minimum</x:v>
      </x:c>
      <x:c r="B48" s="81" t="n">
        <x:f>MAX(0,ROUNDUP(Inputs!$B$6*Inputs!$B$18,0)-'Affordable Housing'!C34)</x:f>
        <x:v>0</x:v>
      </x:c>
      <x:c r="C48" s="81" t="n">
        <x:v>0</x:v>
      </x:c>
      <x:c r="D48" s="40" t="str">
        <x:v>0 means arithmetic round-up threshold met; NOT legal signoff.</x:v>
      </x:c>
    </x:row>
    <x:row r="49">
      <x:c r="A49" s="40" t="str">
        <x:v>Voucher share minimum</x:v>
      </x:c>
      <x:c r="B49" s="81" t="n">
        <x:f>MAX(0,ROUNDUP(Inputs!$B$6*Inputs!$B$19,0)-'Affordable Housing'!D34)</x:f>
        <x:v>0</x:v>
      </x:c>
      <x:c r="C49" s="81" t="n">
        <x:v>0</x:v>
      </x:c>
      <x:c r="D49" s="40" t="str">
        <x:v>0 means arithmetic round-up threshold met; NOT legal signoff.</x:v>
      </x:c>
    </x:row>
    <x:row r="50">
      <x:c r="A50" s="40" t="str">
        <x:v>Incremental gap per designated unit</x:v>
      </x:c>
      <x:c r="B50" s="81" t="n">
        <x:f>'Pro Forma'!C40-('Pro Forma'!C39-'Pro Forma'!B39)/SUM('Pro Forma'!C7:C8)</x:f>
        <x:v>0</x:v>
      </x:c>
      <x:c r="C50" s="81" t="n">
        <x:v>0</x:v>
      </x:c>
      <x:c r="D50" s="40" t="str">
        <x:v>Subtract pre-existing market-rate gap; divide by 31, not just the 26 restricted homes.</x:v>
      </x:c>
    </x:row>
    <x:row r="52">
      <x:c r="A52" t="str">
        <x:v>STATUS: Arithmetic checks ≠ compliance. Verify 2026 published IDP rent limits, allowed AMI averages, compact units and utility allowances.</x:v>
      </x:c>
    </x:row>
    <x:row r="53">
      <x:c r="A53" t="str">
        <x:v>BHA standards are gross and subject to reasonableness; default zero utility allowances do not represent verification.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4" hidden="0" customWidth="1"/>
  </x:cols>
  <x:sheetData>
    <x:row r="1" ht="25" customHeight="1">
      <x:c r="A1" s="2" t="str">
        <x:v>Hew Public-Data Research — Public Edition, Revised 27 October 2026</x:v>
      </x:c>
    </x:row>
    <x:row r="2" ht="25" customHeight="1">
      <x:c r="A2" s="9" t="str">
        <x:v>PURPOSE AND RESEARCH QUESTION</x:v>
      </x:c>
    </x:row>
    <x:row r="3" ht="25" customHeight="1">
      <x:c r="A3" t="str">
        <x:v>How do observed rent concessions and official Boston property taxes shape underwriting decisions for a new Brighton apartment building?</x:v>
      </x:c>
    </x:row>
    <x:row r="4" ht="25" customHeight="1">
      <x:c r="A4" t="str">
        <x:v>Layer 1: Hew historical leasing observations, public FY2026 tax assessment, comparative asking rents and limits.</x:v>
      </x:c>
    </x:row>
    <x:row r="5" ht="25" customHeight="1">
      <x:c r="A5" t="str">
        <x:v>Layer 2: Separate hypothetical 150-home ground-up development pro forma; NEVER call its NOI or indicated value Hew actuals.</x:v>
      </x:c>
    </x:row>
    <x:row r="6" ht="25" customHeight="1">
      <x:c r="A6" s="9" t="str">
        <x:v>KEY VERIFIED FINDINGS</x:v>
      </x:c>
    </x:row>
    <x:row r="7" ht="25" customHeight="1">
      <x:c r="A7" t="str">
        <x:v>Boston Parcel 2101831000, 1515 Commonwealth Ave, luxury apartment; FY2026 assessed $85,274,300, reported net tax $1,063,565.66.</x:v>
      </x:c>
    </x:row>
    <x:row r="8" ht="25" customHeight="1">
      <x:c r="A8" t="str">
        <x:v>Official FY2026 total billed is $1,067,919.40, differing from reported net tax by a recorded $4,353.74 exemption. Confirm bill before investment use.</x:v>
      </x:c>
    </x:row>
    <x:row r="9" ht="25" customHeight="1">
      <x:c r="A9" t="str">
        <x:v>Hew leasing business is marketed at 1525 Commonwealth Ave; the 2025 LoopNet 150-unit listing corroborates the tax parcel.</x:v>
      </x:c>
    </x:row>
    <x:row r="10" ht="25" customHeight="1">
      <x:c r="A10" s="9" t="str">
        <x:v>MARKET OBSERVATIONS</x:v>
      </x:c>
    </x:row>
    <x:row r="11" ht="25" customHeight="1">
      <x:c r="A11" t="str">
        <x:v>Broker practitioner reports Hew 2 months new-lease free, historically 2.5 months, and a May 2026 1-month renewal offer.</x:v>
      </x:c>
    </x:row>
    <x:row r="12" ht="25" customHeight="1">
      <x:c r="A12" t="str">
        <x:v>Broker commissions are modeled for broker-sourced new tenants only. Full-building broker penetration is unknown.</x:v>
      </x:c>
    </x:row>
    <x:row r="13" ht="25" customHeight="1">
      <x:c r="A13" t="str">
        <x:v>No private brokerage production, executed Hew rent roll or firm-specific transaction information is included.</x:v>
      </x:c>
    </x:row>
    <x:row r="14" ht="25" customHeight="1">
      <x:c r="A14" t="str">
        <x:v>Public listing counts are NOT actual vacancy, net absorption, signed leases, lease turnover or broker share.</x:v>
      </x:c>
    </x:row>
    <x:row r="15" ht="25" customHeight="1">
      <x:c r="A15" s="9" t="str">
        <x:v>MODEL INPUTS</x:v>
      </x:c>
    </x:row>
    <x:row r="16" ht="25" customHeight="1">
      <x:c r="A16" t="str">
        <x:v>Blue-highlighted inputs are editable. Known actuals are in Hew Tax Evidence; plausible but unverified drivers stay in Inputs.</x:v>
      </x:c>
    </x:row>
    <x:row r="17" ht="25" customHeight="1">
      <x:c r="A17" t="str">
        <x:v>The legacy $7,180/unit/year component budget includes $300 reserve and a $480 theoretical owner Internet vendor cost.</x:v>
      </x:c>
    </x:row>
    <x:row r="18" ht="25" customHeight="1">
      <x:c r="A18" t="str">
        <x:v>Inputs B49 defaults to 0: exclude BOTH $70/month Internet fee revenue and $480/year vendor cost without proof of owner billing.</x:v>
      </x:c>
    </x:row>
    <x:row r="19" ht="25" customHeight="1">
      <x:c r="A19" t="str">
        <x:v>Tenant in-unit utilities and renters insurance are tenant paid (Hew FAQ). Common-area utilities and owner property insurance remain scenario items.</x:v>
      </x:c>
    </x:row>
    <x:row r="20" ht="25" customHeight="1">
      <x:c r="A20" t="str">
        <x:v>The $2,000 annual payroll per apartment means $300,000 per 150-unit building; Greystar actual staffing and fee allocation unknown.</x:v>
      </x:c>
    </x:row>
    <x:row r="21" ht="25" customHeight="1">
      <x:c r="A21" t="str">
        <x:v>The model assumes 3% management fee on EGI and shows broker fees and reserve separately below property NOI.</x:v>
      </x:c>
    </x:row>
    <x:row r="22" ht="25" customHeight="1">
      <x:c r="A22" t="str">
        <x:v>The hypothetical site tax uses a loaded cap method; actual HEW city tax never silently feeds into another hypothetical parcel.</x:v>
      </x:c>
    </x:row>
    <x:row r="23" ht="25" customHeight="1">
      <x:c r="A23" t="str">
        <x:v>The hypothetical 150-home mixed-income option now uses a transparent 26 restricted / 5 voucher ROUND-UP scenario; see Affordable Housing.</x:v>
      </x:c>
    </x:row>
    <x:row r="24" ht="25" customHeight="1">
      <x:c r="A24" s="9" t="str">
        <x:v>UNCERTAINTY / SCOPE</x:v>
      </x:c>
    </x:row>
    <x:row r="25" ht="25" customHeight="1">
      <x:c r="A25" t="str">
        <x:v>No actual Hew T-12, rent roll, leased-unit counts, staffing bill, insurance premium, verified Internet supplier invoice or property transaction price.</x:v>
      </x:c>
    </x:row>
    <x:row r="26" ht="25" customHeight="1">
      <x:c r="A26" t="str">
        <x:v>Demand retains earlier PUMA regional figures including Fenway; do not call them the site-specific Hew submarket.</x:v>
      </x:c>
    </x:row>
    <x:row r="27" ht="25" customHeight="1">
      <x:c r="A27" t="str">
        <x:v>No buy/sell recommendation or actual acquisition valuation is supported from this workbook.</x:v>
      </x:c>
    </x:row>
    <x:row r="28" ht="25" customHeight="1">
      <x:c r="A28" s="9" t="str">
        <x:v>NAVIGATION</x:v>
      </x:c>
    </x:row>
    <x:row r="29" ht="25" customHeight="1">
      <x:c r="A29" t="str">
        <x:v>Summary → Inputs → Lease Economics → Pro Forma → Sensitivity → Affordable Housing → Market Evidence → Hew Tax Evidence → Demand → Audit.</x:v>
      </x:c>
    </x:row>
    <x:row r="30" ht="25" customHeight="1">
      <x:c r="A30" t="str">
        <x:v>Change Affordable Housing B21 to switch voucher rent benchmarks. All public outputs are hypothetical, not Hew actual NOI.</x:v>
      </x:c>
    </x:row>
    <x:row r="31" ht="25" customHeight="1">
      <x:c r="A31" t="str">
        <x:v>Restricted rent uses published 2025 City IDP 60% AMI standard-size limits and an ASSUMED unit mix; 2026 IDP limits not verified.</x:v>
      </x:c>
    </x:row>
    <x:row r="32">
      <x:c r="A32" t="str">
        <x:v>BHA gross payment standards are not project contract rent; verify tenant-paid utilities and BHA rent-reasonableness assessment.</x:v>
      </x:c>
    </x:row>
    <x:row r="33">
      <x:c r="A33" t="str">
        <x:v>All mixed-income totals update through formulas, including NOI, property tax estimate, value, yield and gap.</x:v>
      </x:c>
    </x:row>
    <x:row r="34">
      <x:c r="A34" t="str">
        <x:v>Illustrative 48 Studio / 67 one-bedroom / 35 two-bedroom mix extrapolated from a user-recorded 123-listing sample, NOT the building rent roll.</x:v>
      </x:c>
    </x:row>
    <x:row r="35">
      <x:c r="A35" t="str">
        <x:v>The $3,875 market rent is a single blended input across market-rate unit types; restricted/voucher rent varies by bedroom.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30" topLeftCell="A31" activePane="bottomLeft" state="frozen"/>
    </x:sheetView>
  </x:sheetViews>
  <x:sheetFormatPr defaultRowHeight="15"/>
  <x:cols>
    <x:col min="1" max="1" width="36" hidden="0" customWidth="1"/>
    <x:col min="2" max="2" width="13" hidden="0" customWidth="1"/>
    <x:col min="3" max="3" width="26" hidden="0" customWidth="1"/>
    <x:col min="4" max="4" width="24" hidden="0" customWidth="1"/>
    <x:col min="5" max="5" width="12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8" hidden="0" customWidth="1"/>
    <x:col min="16" max="16" width="13" hidden="0" customWidth="1"/>
  </x:cols>
  <x:sheetData>
    <x:row r="1" ht="22" customHeight="1">
      <x:c r="A1" s="42" t="str">
        <x:v>Affordable Housing | Bedroom and Voucher Revenue Schedule</x:v>
      </x:c>
      <x:c r="B1" s="42"/>
      <x:c r="C1" s="42"/>
      <x:c r="D1" s="42"/>
      <x:c r="E1" s="42"/>
      <x:c r="F1" s="42"/>
      <x:c r="G1" s="42"/>
      <x:c r="H1" s="42"/>
      <x:c r="I1" s="42"/>
      <x:c r="J1" s="42"/>
      <x:c r="K1" s="42"/>
      <x:c r="L1" s="42"/>
      <x:c r="M1" s="42"/>
      <x:c r="N1" s="42"/>
      <x:c r="O1" s="42"/>
      <x:c r="P1" s="42"/>
    </x:row>
    <x:row r="2" ht="22" customHeight="1">
      <x:c r="A2" s="44" t="str">
        <x:v>Separate illustrative 150-home Brighton development, NOT Hew actual restricted inventory or contract rents.</x:v>
      </x:c>
      <x:c r="B2" s="44"/>
      <x:c r="C2" s="44"/>
      <x:c r="D2" s="44"/>
      <x:c r="E2" s="44"/>
      <x:c r="F2" s="44"/>
      <x:c r="G2" s="44"/>
      <x:c r="H2" s="44"/>
      <x:c r="I2" s="44"/>
      <x:c r="J2" s="44"/>
      <x:c r="K2" s="44"/>
      <x:c r="L2" s="44"/>
      <x:c r="M2" s="44"/>
      <x:c r="N2" s="44"/>
      <x:c r="O2" s="44"/>
      <x:c r="P2" s="44"/>
    </x:row>
    <x:row r="3" ht="22" customHeight="1">
      <x:c r="A3" s="40"/>
      <x:c r="B3" s="40"/>
      <x:c r="C3" s="40"/>
      <x:c r="D3" s="40"/>
      <x:c r="E3" s="40"/>
      <x:c r="F3" s="40"/>
      <x:c r="G3" s="40"/>
      <x:c r="H3" s="40"/>
      <x:c r="I3" s="40"/>
      <x:c r="J3" s="40"/>
      <x:c r="K3" s="40"/>
      <x:c r="L3" s="40"/>
      <x:c r="M3" s="40"/>
      <x:c r="N3" s="40"/>
      <x:c r="O3" s="40"/>
      <x:c r="P3" s="40"/>
    </x:row>
    <x:row r="4" ht="25" customHeight="1">
      <x:c r="A4" s="45" t="str">
        <x:v>POLICY ROUNDING | MODEL OPTION</x:v>
      </x:c>
      <x:c r="B4" s="45"/>
      <x:c r="C4" s="45"/>
      <x:c r="D4" s="45"/>
      <x:c r="E4" s="45"/>
      <x:c r="F4" s="45"/>
      <x:c r="G4" s="45"/>
      <x:c r="H4" s="45"/>
      <x:c r="I4" s="45"/>
      <x:c r="J4" s="45"/>
      <x:c r="K4" s="45"/>
      <x:c r="L4" s="45"/>
      <x:c r="M4" s="45"/>
      <x:c r="N4" s="45"/>
      <x:c r="O4" s="45"/>
      <x:c r="P4" s="45"/>
    </x:row>
    <x:row r="5" ht="22" customHeight="1">
      <x:c r="A5" s="47" t="str">
        <x:v>Driver</x:v>
      </x:c>
      <x:c r="B5" s="47" t="str">
        <x:v>Value</x:v>
      </x:c>
      <x:c r="C5" s="47" t="str">
        <x:v>Basis</x:v>
      </x:c>
      <x:c r="D5" s="47" t="str">
        <x:v>Evidence class</x:v>
      </x:c>
      <x:c r="E5" s="40"/>
      <x:c r="F5" s="40"/>
      <x:c r="G5" s="40"/>
      <x:c r="H5" s="40"/>
      <x:c r="I5" s="40"/>
      <x:c r="J5" s="40"/>
      <x:c r="K5" s="40"/>
      <x:c r="L5" s="40"/>
      <x:c r="M5" s="40"/>
      <x:c r="N5" s="40"/>
      <x:c r="O5" s="40"/>
      <x:c r="P5" s="40"/>
    </x:row>
    <x:row r="6" ht="22" customHeight="1">
      <x:c r="A6" s="40" t="str">
        <x:v>Project homes</x:v>
      </x:c>
      <x:c r="B6" s="48" t="n">
        <x:f>Inputs!$B$6</x:f>
        <x:v>150</x:v>
      </x:c>
      <x:c r="C6" s="40" t="str">
        <x:v>Illustrative site scale</x:v>
      </x:c>
      <x:c r="D6" s="40" t="str">
        <x:v>Model input</x:v>
      </x:c>
      <x:c r="E6" s="40"/>
      <x:c r="F6" s="40"/>
      <x:c r="G6" s="40"/>
      <x:c r="H6" s="40"/>
      <x:c r="I6" s="40"/>
      <x:c r="J6" s="40"/>
      <x:c r="K6" s="40"/>
      <x:c r="L6" s="40"/>
      <x:c r="M6" s="40"/>
      <x:c r="N6" s="40"/>
      <x:c r="O6" s="40"/>
      <x:c r="P6" s="40"/>
    </x:row>
    <x:row r="7" ht="22" customHeight="1">
      <x:c r="A7" s="40" t="str">
        <x:v>Restricted share</x:v>
      </x:c>
      <x:c r="B7" s="50" t="n">
        <x:f>Inputs!$B$18</x:f>
        <x:v>0.17</x:v>
      </x:c>
      <x:c r="C7" s="40" t="str">
        <x:v>Option B 17%</x:v>
      </x:c>
      <x:c r="D7" s="40" t="str">
        <x:v>Policy scenario</x:v>
      </x:c>
      <x:c r="E7" s="40"/>
      <x:c r="F7" s="40"/>
      <x:c r="G7" s="40"/>
      <x:c r="H7" s="40"/>
      <x:c r="I7" s="40"/>
      <x:c r="J7" s="40"/>
      <x:c r="K7" s="40"/>
      <x:c r="L7" s="40"/>
      <x:c r="M7" s="40"/>
      <x:c r="N7" s="40"/>
      <x:c r="O7" s="40"/>
      <x:c r="P7" s="40"/>
    </x:row>
    <x:row r="8" ht="22" customHeight="1">
      <x:c r="A8" s="40" t="str">
        <x:v>Voucher share</x:v>
      </x:c>
      <x:c r="B8" s="50" t="n">
        <x:f>Inputs!$B$19</x:f>
        <x:v>0.03</x:v>
      </x:c>
      <x:c r="C8" s="40" t="str">
        <x:v>Additional 3%</x:v>
      </x:c>
      <x:c r="D8" s="40" t="str">
        <x:v>Policy scenario</x:v>
      </x:c>
      <x:c r="E8" s="40"/>
      <x:c r="F8" s="40"/>
      <x:c r="G8" s="40"/>
      <x:c r="H8" s="40"/>
      <x:c r="I8" s="40"/>
      <x:c r="J8" s="40"/>
      <x:c r="K8" s="40"/>
      <x:c r="L8" s="40"/>
      <x:c r="M8" s="40"/>
      <x:c r="N8" s="40"/>
      <x:c r="O8" s="40"/>
      <x:c r="P8" s="40"/>
    </x:row>
    <x:row r="9" ht="22" customHeight="1">
      <x:c r="A9" s="40" t="str">
        <x:v>Theoretical restricted homes</x:v>
      </x:c>
      <x:c r="B9" s="48" t="n">
        <x:f>B6*B7</x:f>
        <x:v>25.500000000000004</x:v>
      </x:c>
      <x:c r="C9" s="40" t="str">
        <x:v>25.5 at 150 homes</x:v>
      </x:c>
      <x:c r="D9" s="40" t="str">
        <x:v>Derived</x:v>
      </x:c>
      <x:c r="E9" s="40"/>
      <x:c r="F9" s="40"/>
      <x:c r="G9" s="40"/>
      <x:c r="H9" s="40"/>
      <x:c r="I9" s="40"/>
      <x:c r="J9" s="40"/>
      <x:c r="K9" s="40"/>
      <x:c r="L9" s="40"/>
      <x:c r="M9" s="40"/>
      <x:c r="N9" s="40"/>
      <x:c r="O9" s="40"/>
      <x:c r="P9" s="40"/>
    </x:row>
    <x:row r="10" ht="22" customHeight="1">
      <x:c r="A10" s="40" t="str">
        <x:v>Theoretical voucher homes</x:v>
      </x:c>
      <x:c r="B10" s="48" t="n">
        <x:f>B6*B8</x:f>
        <x:v>4.5</x:v>
      </x:c>
      <x:c r="C10" s="40" t="str">
        <x:v>4.5 at 150 homes</x:v>
      </x:c>
      <x:c r="D10" s="40" t="str">
        <x:v>Derived</x:v>
      </x:c>
      <x:c r="E10" s="40"/>
      <x:c r="F10" s="40"/>
      <x:c r="G10" s="40"/>
      <x:c r="H10" s="40"/>
      <x:c r="I10" s="40"/>
      <x:c r="J10" s="40"/>
      <x:c r="K10" s="40"/>
      <x:c r="L10" s="40"/>
      <x:c r="M10" s="40"/>
      <x:c r="N10" s="40"/>
      <x:c r="O10" s="40"/>
      <x:c r="P10" s="40"/>
    </x:row>
    <x:row r="11" ht="22" customHeight="1">
      <x:c r="A11" s="52" t="str">
        <x:v>Restricted homes: rounded up</x:v>
      </x:c>
      <x:c r="B11" s="53" t="n">
        <x:f>ROUNDUP(B9,0)</x:f>
        <x:v>26</x:v>
      </x:c>
      <x:c r="C11" s="40" t="str">
        <x:v>26 units</x:v>
      </x:c>
      <x:c r="D11" s="40" t="str">
        <x:v>Illustrative rounding</x:v>
      </x:c>
      <x:c r="E11" s="40"/>
      <x:c r="F11" s="40"/>
      <x:c r="G11" s="40"/>
      <x:c r="H11" s="40"/>
      <x:c r="I11" s="40"/>
      <x:c r="J11" s="40"/>
      <x:c r="K11" s="40"/>
      <x:c r="L11" s="40"/>
      <x:c r="M11" s="40"/>
      <x:c r="N11" s="40"/>
      <x:c r="O11" s="40"/>
      <x:c r="P11" s="40"/>
    </x:row>
    <x:row r="12" ht="22" customHeight="1">
      <x:c r="A12" s="52" t="str">
        <x:v>Voucher homes: rounded up</x:v>
      </x:c>
      <x:c r="B12" s="53" t="n">
        <x:f>ROUNDUP(B10,0)</x:f>
        <x:v>5</x:v>
      </x:c>
      <x:c r="C12" s="40" t="str">
        <x:v>5 units</x:v>
      </x:c>
      <x:c r="D12" s="40" t="str">
        <x:v>Illustrative rounding</x:v>
      </x:c>
      <x:c r="E12" s="40"/>
      <x:c r="F12" s="40"/>
      <x:c r="G12" s="40"/>
      <x:c r="H12" s="40"/>
      <x:c r="I12" s="40"/>
      <x:c r="J12" s="40"/>
      <x:c r="K12" s="40"/>
      <x:c r="L12" s="40"/>
      <x:c r="M12" s="40"/>
      <x:c r="N12" s="40"/>
      <x:c r="O12" s="40"/>
      <x:c r="P12" s="40"/>
    </x:row>
    <x:row r="13" ht="22" customHeight="1">
      <x:c r="A13" s="52" t="str">
        <x:v>Total designated homes</x:v>
      </x:c>
      <x:c r="B13" s="53" t="n">
        <x:f>SUM(B11:B12)</x:f>
        <x:v>31</x:v>
      </x:c>
      <x:c r="C13" s="40" t="str">
        <x:v>No double-counting</x:v>
      </x:c>
      <x:c r="D13" s="40" t="str">
        <x:v>Derived</x:v>
      </x:c>
      <x:c r="E13" s="40"/>
      <x:c r="F13" s="40"/>
      <x:c r="G13" s="40"/>
      <x:c r="H13" s="40"/>
      <x:c r="I13" s="40"/>
      <x:c r="J13" s="40"/>
      <x:c r="K13" s="40"/>
      <x:c r="L13" s="40"/>
      <x:c r="M13" s="40"/>
      <x:c r="N13" s="40"/>
      <x:c r="O13" s="40"/>
      <x:c r="P13" s="40"/>
    </x:row>
    <x:row r="14" ht="22" customHeight="1">
      <x:c r="A14" s="52" t="str">
        <x:v>Residual market homes</x:v>
      </x:c>
      <x:c r="B14" s="53" t="n">
        <x:f>B6-B13</x:f>
        <x:v>119</x:v>
      </x:c>
      <x:c r="C14" s="40" t="str">
        <x:v>Project total less set-asides</x:v>
      </x:c>
      <x:c r="D14" s="40" t="str">
        <x:v>Derived</x:v>
      </x:c>
      <x:c r="E14" s="40"/>
      <x:c r="F14" s="40"/>
      <x:c r="G14" s="40"/>
      <x:c r="H14" s="40"/>
      <x:c r="I14" s="40"/>
      <x:c r="J14" s="40"/>
      <x:c r="K14" s="40"/>
      <x:c r="L14" s="40"/>
      <x:c r="M14" s="40"/>
      <x:c r="N14" s="40"/>
      <x:c r="O14" s="40"/>
      <x:c r="P14" s="40"/>
    </x:row>
    <x:row r="15" ht="22" customHeight="1">
      <x:c r="A15" s="52" t="str">
        <x:v>Effective combined set-aside</x:v>
      </x:c>
      <x:c r="B15" s="54" t="n">
        <x:f>B13/B6</x:f>
        <x:v>0.20666666666666667</x:v>
      </x:c>
      <x:c r="C15" s="40" t="str">
        <x:v>31 / 150 = 20.67%</x:v>
      </x:c>
      <x:c r="D15" s="40" t="str">
        <x:v>Derived</x:v>
      </x:c>
      <x:c r="E15" s="40"/>
      <x:c r="F15" s="40"/>
      <x:c r="G15" s="40"/>
      <x:c r="H15" s="40"/>
      <x:c r="I15" s="40"/>
      <x:c r="J15" s="40"/>
      <x:c r="K15" s="40"/>
      <x:c r="L15" s="40"/>
      <x:c r="M15" s="40"/>
      <x:c r="N15" s="40"/>
      <x:c r="O15" s="40"/>
      <x:c r="P15" s="40"/>
    </x:row>
    <x:row r="16" ht="22" customHeight="1">
      <x:c r="A16" s="40" t="str">
        <x:v>Round-up is one screening method; fraction-of-unit, floor area, fee options and applicability need counsel / City confirmation.</x:v>
      </x:c>
      <x:c r="B16" s="40"/>
      <x:c r="C16" s="40"/>
      <x:c r="D16" s="40"/>
      <x:c r="E16" s="40"/>
      <x:c r="F16" s="40"/>
      <x:c r="G16" s="40"/>
      <x:c r="H16" s="40"/>
      <x:c r="I16" s="40"/>
      <x:c r="J16" s="40"/>
      <x:c r="K16" s="40"/>
      <x:c r="L16" s="40"/>
      <x:c r="M16" s="40"/>
      <x:c r="N16" s="40"/>
      <x:c r="O16" s="40"/>
      <x:c r="P16" s="40"/>
    </x:row>
    <x:row r="17" ht="22" customHeight="1">
      <x:c r="A17" s="40" t="str">
        <x:v>Hew (opened 2024) is NOT assumed to be subject to this hypothetical post-October-2024 project scenario.</x:v>
      </x:c>
      <x:c r="B17" s="40"/>
      <x:c r="C17" s="40"/>
      <x:c r="D17" s="40"/>
      <x:c r="E17" s="40"/>
      <x:c r="F17" s="40"/>
      <x:c r="G17" s="40"/>
      <x:c r="H17" s="40"/>
      <x:c r="I17" s="40"/>
      <x:c r="J17" s="40"/>
      <x:c r="K17" s="40"/>
      <x:c r="L17" s="40"/>
      <x:c r="M17" s="40"/>
      <x:c r="N17" s="40"/>
      <x:c r="O17" s="40"/>
      <x:c r="P17" s="40"/>
    </x:row>
    <x:row r="18" ht="25" customHeight="1">
      <x:c r="A18" s="45" t="str">
        <x:v>REVENUE SENSITIVITY | EDITABLE DRIVERS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O18" s="45"/>
      <x:c r="P18" s="45"/>
    </x:row>
    <x:row r="19" ht="22" customHeight="1">
      <x:c r="A19" s="40" t="str">
        <x:v>AMI treatment</x:v>
      </x:c>
      <x:c r="B19" s="40" t="str">
        <x:v>60% AMI assumed</x:v>
      </x:c>
      <x:c r="C19" s="40" t="str">
        <x:v>Uniform AMI is not legally validated.</x:v>
      </x:c>
      <x:c r="D19" s="40"/>
      <x:c r="E19" s="40"/>
      <x:c r="F19" s="40"/>
      <x:c r="G19" s="40"/>
      <x:c r="H19" s="40"/>
      <x:c r="I19" s="40"/>
      <x:c r="J19" s="40"/>
      <x:c r="K19" s="40"/>
      <x:c r="L19" s="40"/>
      <x:c r="M19" s="40"/>
      <x:c r="N19" s="40"/>
      <x:c r="O19" s="40"/>
      <x:c r="P19" s="40"/>
    </x:row>
    <x:row r="20" ht="22" customHeight="1">
      <x:c r="A20" s="40" t="str">
        <x:v>2025 IDP limits</x:v>
      </x:c>
      <x:c r="B20" s="40" t="str">
        <x:v>2025 verified</x:v>
      </x:c>
      <x:c r="C20" s="40" t="str">
        <x:v>Confirm 2026 project-specific ceilings.</x:v>
      </x:c>
      <x:c r="D20" s="40"/>
      <x:c r="E20" s="40"/>
      <x:c r="F20" s="40"/>
      <x:c r="G20" s="40"/>
      <x:c r="H20" s="40"/>
      <x:c r="I20" s="40"/>
      <x:c r="J20" s="40"/>
      <x:c r="K20" s="40"/>
      <x:c r="L20" s="40"/>
      <x:c r="M20" s="40"/>
      <x:c r="N20" s="40"/>
      <x:c r="O20" s="40"/>
      <x:c r="P20" s="40"/>
    </x:row>
    <x:row r="21" ht="22" customHeight="1">
      <x:c r="A21" s="40" t="str">
        <x:v>Voucher income mode (1 / 2)</x:v>
      </x:c>
      <x:c r="B21" s="56" t="n">
        <x:v>2</x:v>
      </x:c>
      <x:c r="C21" s="40" t="str">
        <x:v>1 = market; 2 = BHA benchmark</x:v>
      </x:c>
      <x:c r="D21" s="40" t="str">
        <x:v>Neither is approved contract rent.</x:v>
      </x:c>
      <x:c r="E21" s="40"/>
      <x:c r="F21" s="40"/>
      <x:c r="G21" s="40"/>
      <x:c r="H21" s="40"/>
      <x:c r="I21" s="40"/>
      <x:c r="J21" s="40"/>
      <x:c r="K21" s="40"/>
      <x:c r="L21" s="40"/>
      <x:c r="M21" s="40"/>
      <x:c r="N21" s="40"/>
      <x:c r="O21" s="40"/>
      <x:c r="P21" s="40"/>
    </x:row>
    <x:row r="22" ht="22" customHeight="1">
      <x:c r="A22" s="40" t="str">
        <x:v>Voucher utility allowance: Studio</x:v>
      </x:c>
      <x:c r="B22" s="57" t="n">
        <x:v>0</x:v>
      </x:c>
      <x:c r="C22" s="40"/>
      <x:c r="D22" s="40" t="str">
        <x:v>Zero means unverified / not yet deducted; change only with applicable BHA and MOH rules.</x:v>
      </x:c>
      <x:c r="E22" s="40"/>
      <x:c r="F22" s="40"/>
      <x:c r="G22" s="40"/>
      <x:c r="H22" s="40"/>
      <x:c r="I22" s="40"/>
      <x:c r="J22" s="40"/>
      <x:c r="K22" s="40"/>
      <x:c r="L22" s="40"/>
      <x:c r="M22" s="40"/>
      <x:c r="N22" s="40"/>
      <x:c r="O22" s="40"/>
      <x:c r="P22" s="40"/>
    </x:row>
    <x:row r="23" ht="22" customHeight="1">
      <x:c r="A23" s="40" t="str">
        <x:v>Voucher utility allowance: 1BR</x:v>
      </x:c>
      <x:c r="B23" s="57" t="n">
        <x:v>0</x:v>
      </x:c>
      <x:c r="C23" s="40"/>
      <x:c r="D23" s="40"/>
      <x:c r="E23" s="40"/>
      <x:c r="F23" s="40"/>
      <x:c r="G23" s="40"/>
      <x:c r="H23" s="40"/>
      <x:c r="I23" s="40"/>
      <x:c r="J23" s="40"/>
      <x:c r="K23" s="40"/>
      <x:c r="L23" s="40"/>
      <x:c r="M23" s="40"/>
      <x:c r="N23" s="40"/>
      <x:c r="O23" s="40"/>
      <x:c r="P23" s="40"/>
    </x:row>
    <x:row r="24" ht="22" customHeight="1">
      <x:c r="A24" s="40" t="str">
        <x:v>Voucher utility allowance: 2BR</x:v>
      </x:c>
      <x:c r="B24" s="57" t="n">
        <x:v>0</x:v>
      </x:c>
      <x:c r="C24" s="40"/>
      <x:c r="D24" s="40"/>
      <x:c r="E24" s="40"/>
      <x:c r="F24" s="40"/>
      <x:c r="G24" s="40"/>
      <x:c r="H24" s="40"/>
      <x:c r="I24" s="40"/>
      <x:c r="J24" s="40"/>
      <x:c r="K24" s="40"/>
      <x:c r="L24" s="40"/>
      <x:c r="M24" s="40"/>
      <x:c r="N24" s="40"/>
      <x:c r="O24" s="40"/>
      <x:c r="P24" s="40"/>
    </x:row>
    <x:row r="25" ht="22" customHeight="1">
      <x:c r="A25" s="40" t="str">
        <x:v>IDP allowance adjustment: Studio</x:v>
      </x:c>
      <x:c r="B25" s="57" t="n">
        <x:v>0</x:v>
      </x:c>
      <x:c r="C25" s="40"/>
      <x:c r="D25" s="40" t="str">
        <x:v>Rents before project-specific utilities / compact-unit adjustments.</x:v>
      </x:c>
      <x:c r="E25" s="40"/>
      <x:c r="F25" s="40"/>
      <x:c r="G25" s="40"/>
      <x:c r="H25" s="40"/>
      <x:c r="I25" s="40"/>
      <x:c r="J25" s="40"/>
      <x:c r="K25" s="40"/>
      <x:c r="L25" s="40"/>
      <x:c r="M25" s="40"/>
      <x:c r="N25" s="40"/>
      <x:c r="O25" s="40"/>
      <x:c r="P25" s="40"/>
    </x:row>
    <x:row r="26" ht="22" customHeight="1">
      <x:c r="A26" s="40" t="str">
        <x:v>IDP allowance adjustment: 1BR</x:v>
      </x:c>
      <x:c r="B26" s="57" t="n">
        <x:v>0</x:v>
      </x:c>
      <x:c r="C26" s="40"/>
      <x:c r="D26" s="40"/>
      <x:c r="E26" s="40"/>
      <x:c r="F26" s="40"/>
      <x:c r="G26" s="40"/>
      <x:c r="H26" s="40"/>
      <x:c r="I26" s="40"/>
      <x:c r="J26" s="40"/>
      <x:c r="K26" s="40"/>
      <x:c r="L26" s="40"/>
      <x:c r="M26" s="40"/>
      <x:c r="N26" s="40"/>
      <x:c r="O26" s="40"/>
      <x:c r="P26" s="40"/>
    </x:row>
    <x:row r="27" ht="22" customHeight="1">
      <x:c r="A27" s="40" t="str">
        <x:v>IDP allowance adjustment: 2BR</x:v>
      </x:c>
      <x:c r="B27" s="57" t="n">
        <x:v>0</x:v>
      </x:c>
      <x:c r="C27" s="40"/>
      <x:c r="D27" s="40"/>
      <x:c r="E27" s="40"/>
      <x:c r="F27" s="40"/>
      <x:c r="G27" s="40"/>
      <x:c r="H27" s="40"/>
      <x:c r="I27" s="40"/>
      <x:c r="J27" s="40"/>
      <x:c r="K27" s="40"/>
      <x:c r="L27" s="40"/>
      <x:c r="M27" s="40"/>
      <x:c r="N27" s="40"/>
      <x:c r="O27" s="40"/>
      <x:c r="P27" s="40"/>
    </x:row>
    <x:row r="28" ht="25" customHeight="1">
      <x:c r="A28" s="45" t="str">
        <x:v>BEDROOM MIX | UNIT-WEIGHTED REVENUE</x:v>
      </x:c>
      <x:c r="B28" s="45"/>
      <x:c r="C28" s="45"/>
      <x:c r="D28" s="45"/>
      <x:c r="E28" s="45"/>
      <x:c r="F28" s="45"/>
      <x:c r="G28" s="45"/>
      <x:c r="H28" s="45"/>
      <x:c r="I28" s="45"/>
      <x:c r="J28" s="45"/>
      <x:c r="K28" s="45"/>
      <x:c r="L28" s="45"/>
      <x:c r="M28" s="45"/>
      <x:c r="N28" s="45"/>
      <x:c r="O28" s="45"/>
      <x:c r="P28" s="45"/>
    </x:row>
    <x:row r="29" ht="41" customHeight="1">
      <x:c r="A29" s="58" t="str">
        <x:v>Bedrooms</x:v>
      </x:c>
      <x:c r="B29" s="58" t="str">
        <x:v>All homes</x:v>
      </x:c>
      <x:c r="C29" s="58" t="str">
        <x:v>Restricted</x:v>
      </x:c>
      <x:c r="D29" s="58" t="str">
        <x:v>Voucher</x:v>
      </x:c>
      <x:c r="E29" s="58" t="str">
        <x:v>Market</x:v>
      </x:c>
      <x:c r="F29" s="58" t="str">
        <x:v>IDP 2025 60%</x:v>
      </x:c>
      <x:c r="G29" s="58" t="str">
        <x:v>IDP allowance</x:v>
      </x:c>
      <x:c r="H29" s="58" t="str">
        <x:v>Restricted net/mo</x:v>
      </x:c>
      <x:c r="I29" s="58" t="str">
        <x:v>Restricted/yr</x:v>
      </x:c>
      <x:c r="J29" s="58" t="str">
        <x:v>BHA 2026 02135</x:v>
      </x:c>
      <x:c r="K29" s="58" t="str">
        <x:v>Voucher utility</x:v>
      </x:c>
      <x:c r="L29" s="58" t="str">
        <x:v>BHA proxy/mo</x:v>
      </x:c>
      <x:c r="M29" s="58" t="str">
        <x:v>Market proxy/mo</x:v>
      </x:c>
      <x:c r="N29" s="58" t="str">
        <x:v>Selected voucher/mo</x:v>
      </x:c>
      <x:c r="O29" s="58" t="str">
        <x:v>Voucher/yr</x:v>
      </x:c>
      <x:c r="P29" s="58" t="str">
        <x:v>Mix check</x:v>
      </x:c>
    </x:row>
    <x:row r="30" ht="22" customHeight="1">
      <x:c r="A30" s="40" t="str">
        <x:v>150-home mix extrapolated from user-observed 123 listings (approx. 32% / 45% / 24%). NOT Hew's verified full inventory.</x:v>
      </x:c>
      <x:c r="B30" s="40"/>
      <x:c r="C30" s="40"/>
      <x:c r="D30" s="40"/>
      <x:c r="E30" s="40"/>
      <x:c r="F30" s="40"/>
      <x:c r="G30" s="40"/>
      <x:c r="H30" s="40"/>
      <x:c r="I30" s="40"/>
      <x:c r="J30" s="40"/>
      <x:c r="K30" s="40"/>
      <x:c r="L30" s="40"/>
      <x:c r="M30" s="40"/>
      <x:c r="N30" s="40"/>
      <x:c r="O30" s="40"/>
      <x:c r="P30" s="40"/>
    </x:row>
    <x:row r="31" ht="22" customHeight="1">
      <x:c r="A31" s="40" t="str">
        <x:v>Studio</x:v>
      </x:c>
      <x:c r="B31" s="64" t="n">
        <x:v>48</x:v>
      </x:c>
      <x:c r="C31" s="64" t="n">
        <x:v>8</x:v>
      </x:c>
      <x:c r="D31" s="64" t="n">
        <x:v>2</x:v>
      </x:c>
      <x:c r="E31" s="49" t="n">
        <x:f>B31-C31-D31</x:f>
        <x:v>38</x:v>
      </x:c>
      <x:c r="F31" s="62" t="n">
        <x:v>1266</x:v>
      </x:c>
      <x:c r="G31" s="63" t="n">
        <x:f>B25</x:f>
        <x:v>0</x:v>
      </x:c>
      <x:c r="H31" s="63" t="n">
        <x:f>MAX(0,F31-G31)</x:f>
        <x:v>1266</x:v>
      </x:c>
      <x:c r="I31" s="63" t="n">
        <x:f>C31*H31*12</x:f>
        <x:v>121536</x:v>
      </x:c>
      <x:c r="J31" s="62" t="n">
        <x:v>2627</x:v>
      </x:c>
      <x:c r="K31" s="63" t="n">
        <x:f>B22</x:f>
        <x:v>0</x:v>
      </x:c>
      <x:c r="L31" s="63" t="n">
        <x:f>MAX(0,J31-K31)</x:f>
        <x:v>2627</x:v>
      </x:c>
      <x:c r="M31" s="63" t="n">
        <x:f>Inputs!$B$14</x:f>
        <x:v>3875</x:v>
      </x:c>
      <x:c r="N31" s="63" t="n">
        <x:f>IF($B$21=1,M31,L31)</x:f>
        <x:v>2627</x:v>
      </x:c>
      <x:c r="O31" s="63" t="n">
        <x:f>D31*N31*12</x:f>
        <x:v>63048</x:v>
      </x:c>
      <x:c r="P31" s="49" t="n">
        <x:f>B31-SUM(C31:E31)</x:f>
        <x:v>0</x:v>
      </x:c>
    </x:row>
    <x:row r="32" ht="22" customHeight="1">
      <x:c r="A32" s="40" t="str">
        <x:v>1 bedroom</x:v>
      </x:c>
      <x:c r="B32" s="64" t="n">
        <x:v>67</x:v>
      </x:c>
      <x:c r="C32" s="64" t="n">
        <x:v>12</x:v>
      </x:c>
      <x:c r="D32" s="64" t="n">
        <x:v>2</x:v>
      </x:c>
      <x:c r="E32" s="49" t="n">
        <x:f>B32-C32-D32</x:f>
        <x:v>53</x:v>
      </x:c>
      <x:c r="F32" s="62" t="n">
        <x:v>1484</x:v>
      </x:c>
      <x:c r="G32" s="63" t="n">
        <x:f>B26</x:f>
        <x:v>0</x:v>
      </x:c>
      <x:c r="H32" s="63" t="n">
        <x:f>MAX(0,F32-G32)</x:f>
        <x:v>1484</x:v>
      </x:c>
      <x:c r="I32" s="63" t="n">
        <x:f>C32*H32*12</x:f>
        <x:v>213696</x:v>
      </x:c>
      <x:c r="J32" s="62" t="n">
        <x:v>2757</x:v>
      </x:c>
      <x:c r="K32" s="63" t="n">
        <x:f>B23</x:f>
        <x:v>0</x:v>
      </x:c>
      <x:c r="L32" s="63" t="n">
        <x:f>MAX(0,J32-K32)</x:f>
        <x:v>2757</x:v>
      </x:c>
      <x:c r="M32" s="63" t="n">
        <x:f>Inputs!$B$14</x:f>
        <x:v>3875</x:v>
      </x:c>
      <x:c r="N32" s="63" t="n">
        <x:f>IF($B$21=1,M32,L32)</x:f>
        <x:v>2757</x:v>
      </x:c>
      <x:c r="O32" s="63" t="n">
        <x:f>D32*N32*12</x:f>
        <x:v>66168</x:v>
      </x:c>
      <x:c r="P32" s="49" t="n">
        <x:f>B32-SUM(C32:E32)</x:f>
        <x:v>0</x:v>
      </x:c>
    </x:row>
    <x:row r="33" ht="22" customHeight="1">
      <x:c r="A33" s="40" t="str">
        <x:v>2 bedrooms</x:v>
      </x:c>
      <x:c r="B33" s="64" t="n">
        <x:v>35</x:v>
      </x:c>
      <x:c r="C33" s="64" t="n">
        <x:v>6</x:v>
      </x:c>
      <x:c r="D33" s="64" t="n">
        <x:v>1</x:v>
      </x:c>
      <x:c r="E33" s="49" t="n">
        <x:f>B33-C33-D33</x:f>
        <x:v>28</x:v>
      </x:c>
      <x:c r="F33" s="62" t="n">
        <x:v>1680</x:v>
      </x:c>
      <x:c r="G33" s="63" t="n">
        <x:f>B27</x:f>
        <x:v>0</x:v>
      </x:c>
      <x:c r="H33" s="63" t="n">
        <x:f>MAX(0,F33-G33)</x:f>
        <x:v>1680</x:v>
      </x:c>
      <x:c r="I33" s="63" t="n">
        <x:f>C33*H33*12</x:f>
        <x:v>120960</x:v>
      </x:c>
      <x:c r="J33" s="62" t="n">
        <x:v>3270</x:v>
      </x:c>
      <x:c r="K33" s="63" t="n">
        <x:f>B24</x:f>
        <x:v>0</x:v>
      </x:c>
      <x:c r="L33" s="63" t="n">
        <x:f>MAX(0,J33-K33)</x:f>
        <x:v>3270</x:v>
      </x:c>
      <x:c r="M33" s="63" t="n">
        <x:f>Inputs!$B$14</x:f>
        <x:v>3875</x:v>
      </x:c>
      <x:c r="N33" s="63" t="n">
        <x:f>IF($B$21=1,M33,L33)</x:f>
        <x:v>3270</x:v>
      </x:c>
      <x:c r="O33" s="63" t="n">
        <x:f>D33*N33*12</x:f>
        <x:v>39240</x:v>
      </x:c>
      <x:c r="P33" s="49" t="n">
        <x:f>B33-SUM(C33:E33)</x:f>
        <x:v>0</x:v>
      </x:c>
    </x:row>
    <x:row r="34" ht="22" customHeight="1">
      <x:c r="A34" s="67" t="str">
        <x:v>TOTAL / WEIGHTED</x:v>
      </x:c>
      <x:c r="B34" s="68" t="n">
        <x:f>SUM(B31:B33)</x:f>
        <x:v>150</x:v>
      </x:c>
      <x:c r="C34" s="68" t="n">
        <x:f>SUM(C31:C33)</x:f>
        <x:v>26</x:v>
      </x:c>
      <x:c r="D34" s="68" t="n">
        <x:f>SUM(D31:D33)</x:f>
        <x:v>5</x:v>
      </x:c>
      <x:c r="E34" s="68" t="n">
        <x:f>SUM(E31:E33)</x:f>
        <x:v>119</x:v>
      </x:c>
      <x:c r="F34" s="69"/>
      <x:c r="G34" s="69"/>
      <x:c r="H34" s="69" t="n">
        <x:f>IF(C34&gt;0,I34/(C34*12),0)</x:f>
        <x:v>1462.1538461538462</x:v>
      </x:c>
      <x:c r="I34" s="69" t="n">
        <x:f>SUM(I31:I33)</x:f>
        <x:v>456192</x:v>
      </x:c>
      <x:c r="J34" s="69"/>
      <x:c r="K34" s="69"/>
      <x:c r="L34" s="69" t="n">
        <x:f>IF(D34&gt;0,SUMPRODUCT(D31:D33,L31:L33)/D34,0)</x:f>
        <x:v>2807.6</x:v>
      </x:c>
      <x:c r="M34" s="69" t="n">
        <x:f>Inputs!$B$14</x:f>
        <x:v>3875</x:v>
      </x:c>
      <x:c r="N34" s="69" t="n">
        <x:f>IF(D34&gt;0,O34/(D34*12),0)</x:f>
        <x:v>2807.6</x:v>
      </x:c>
      <x:c r="O34" s="69" t="n">
        <x:f>SUM(O31:O33)</x:f>
        <x:v>168456</x:v>
      </x:c>
      <x:c r="P34" s="68" t="n">
        <x:f>SUM(P31:P33)</x:f>
        <x:v>0</x:v>
      </x:c>
    </x:row>
    <x:row r="35" ht="22" customHeight="1">
      <x:c r="A35" s="40" t="str">
        <x:v>2025 City IDP 60% AMI limits and 2026 BHA standards are independent references; no 2026 IDP rent sheet verified.</x:v>
      </x:c>
      <x:c r="B35" s="40"/>
      <x:c r="C35" s="40"/>
      <x:c r="D35" s="40"/>
      <x:c r="E35" s="40"/>
      <x:c r="F35" s="40"/>
      <x:c r="G35" s="40"/>
      <x:c r="H35" s="40"/>
      <x:c r="I35" s="40"/>
      <x:c r="J35" s="40"/>
      <x:c r="K35" s="40"/>
      <x:c r="L35" s="40"/>
      <x:c r="M35" s="40"/>
      <x:c r="N35" s="40"/>
      <x:c r="O35" s="40"/>
      <x:c r="P35" s="40"/>
    </x:row>
    <x:row r="36" ht="22" customHeight="1">
      <x:c r="A36" s="40" t="str">
        <x:v>BHA payment standard is a gross-rent benchmark, NOT approved landlord rent. Utilities and rent reasonableness still apply.</x:v>
      </x:c>
      <x:c r="B36" s="40"/>
      <x:c r="C36" s="40"/>
      <x:c r="D36" s="40"/>
      <x:c r="E36" s="40"/>
      <x:c r="F36" s="40"/>
      <x:c r="G36" s="40"/>
      <x:c r="H36" s="40"/>
      <x:c r="I36" s="40"/>
      <x:c r="J36" s="40"/>
      <x:c r="K36" s="40"/>
      <x:c r="L36" s="40"/>
      <x:c r="M36" s="40"/>
      <x:c r="N36" s="40"/>
      <x:c r="O36" s="40"/>
      <x:c r="P36" s="40"/>
    </x:row>
    <x:row r="37" ht="22" customHeight="1">
      <x:c r="A37" s="40" t="str">
        <x:v>Current mode:</x:v>
      </x:c>
      <x:c r="B37" s="40" t="str">
        <x:f>IF(B21=1,"Market proxy (unverified)","BHA gross standard less assumed allowance (benchmark only)")</x:f>
        <x:v>BHA gross standard less assumed allowance (benchmark only)</x:v>
      </x:c>
      <x:c r="C37" s="40"/>
      <x:c r="D37" s="40"/>
      <x:c r="E37" s="40"/>
      <x:c r="F37" s="40"/>
      <x:c r="G37" s="40"/>
      <x:c r="H37" s="40"/>
      <x:c r="I37" s="40"/>
      <x:c r="J37" s="40"/>
      <x:c r="K37" s="40"/>
      <x:c r="L37" s="40"/>
      <x:c r="M37" s="40"/>
      <x:c r="N37" s="40"/>
      <x:c r="O37" s="40"/>
      <x:c r="P37" s="40"/>
    </x:row>
    <x:row r="38" ht="25" customHeight="1">
      <x:c r="A38" s="45" t="str">
        <x:v>LINKED OUTPUTS | MIXED-INCOME CASE</x:v>
      </x:c>
      <x:c r="B38" s="45"/>
      <x:c r="C38" s="45"/>
      <x:c r="D38" s="45"/>
      <x:c r="E38" s="45"/>
      <x:c r="F38" s="45"/>
      <x:c r="G38" s="45"/>
      <x:c r="H38" s="45"/>
      <x:c r="I38" s="45"/>
      <x:c r="J38" s="45"/>
      <x:c r="K38" s="45"/>
      <x:c r="L38" s="45"/>
      <x:c r="M38" s="45"/>
      <x:c r="N38" s="45"/>
      <x:c r="O38" s="45"/>
      <x:c r="P38" s="45"/>
    </x:row>
    <x:row r="39" ht="22" customHeight="1">
      <x:c r="A39" s="40" t="str">
        <x:v>Restricted rent potential / year</x:v>
      </x:c>
      <x:c r="B39" s="70" t="n">
        <x:f>I34</x:f>
        <x:v>456192</x:v>
      </x:c>
      <x:c r="C39" s="40"/>
      <x:c r="D39" s="47" t="str">
        <x:v>VOUCHER BASIS</x:v>
      </x:c>
      <x:c r="E39" s="47" t="str">
        <x:v>INDICATED VALUE</x:v>
      </x:c>
      <x:c r="F39" s="47" t="str">
        <x:v>GAP TO COST</x:v>
      </x:c>
      <x:c r="G39" s="40"/>
      <x:c r="H39" s="40"/>
      <x:c r="I39" s="40"/>
      <x:c r="J39" s="40"/>
      <x:c r="K39" s="40"/>
      <x:c r="L39" s="40"/>
      <x:c r="M39" s="40"/>
      <x:c r="N39" s="40"/>
      <x:c r="O39" s="40"/>
      <x:c r="P39" s="40"/>
    </x:row>
    <x:row r="40" ht="22" customHeight="1">
      <x:c r="A40" s="40" t="str">
        <x:v>Voucher rent potential / year</x:v>
      </x:c>
      <x:c r="B40" s="70" t="n">
        <x:f>O34</x:f>
        <x:v>168456</x:v>
      </x:c>
      <x:c r="C40" s="40"/>
      <x:c r="D40" s="40" t="str">
        <x:v>BHA 02135 benchmark</x:v>
      </x:c>
      <x:c r="E40" s="70" t="n">
        <x:f>'Pro Forma'!C35+(SUMPRODUCT($D$31:$D$33,$L$31:$L$33)*12-$O$34)*(1-Inputs!$B$17)*(1-Inputs!$B$28)/(Inputs!$B$29+Inputs!$B$33)</x:f>
        <x:v>66236934.22166558</x:v>
      </x:c>
      <x:c r="F40" s="70" t="n">
        <x:f>MAX(0,'Pro Forma'!C17-E40)</x:f>
        <x:v>13045418.71951089</x:v>
      </x:c>
      <x:c r="G40" s="40"/>
      <x:c r="H40" s="40"/>
      <x:c r="I40" s="40"/>
      <x:c r="J40" s="40"/>
      <x:c r="K40" s="40"/>
      <x:c r="L40" s="40"/>
      <x:c r="M40" s="40"/>
      <x:c r="N40" s="40"/>
      <x:c r="O40" s="40"/>
      <x:c r="P40" s="40"/>
    </x:row>
    <x:row r="41" ht="22" customHeight="1">
      <x:c r="A41" s="40" t="str">
        <x:v>Market rent potential / year</x:v>
      </x:c>
      <x:c r="B41" s="70" t="n">
        <x:f>E34*Inputs!$B$14*12</x:f>
        <x:v>5533500</x:v>
      </x:c>
      <x:c r="C41" s="40"/>
      <x:c r="D41" s="40" t="str">
        <x:v>Market-rent proxy</x:v>
      </x:c>
      <x:c r="E41" s="70" t="n">
        <x:f>'Pro Forma'!C35+($D$34*Inputs!$B$14*12-$O$34)*(1-Inputs!$B$17)*(1-Inputs!$B$28)/(Inputs!$B$29+Inputs!$B$33)</x:f>
        <x:v>67151579.09799068</x:v>
      </x:c>
      <x:c r="F41" s="70" t="n">
        <x:f>MAX(0,'Pro Forma'!C17-E41)</x:f>
        <x:v>12130773.843185797</x:v>
      </x:c>
      <x:c r="G41" s="40"/>
      <x:c r="H41" s="40"/>
      <x:c r="I41" s="40"/>
      <x:c r="J41" s="40"/>
      <x:c r="K41" s="40"/>
      <x:c r="L41" s="40"/>
      <x:c r="M41" s="40"/>
      <x:c r="N41" s="40"/>
      <x:c r="O41" s="40"/>
      <x:c r="P41" s="40"/>
    </x:row>
    <x:row r="42" ht="22" customHeight="1">
      <x:c r="A42" s="47" t="str">
        <x:v>Total residential GPR / year</x:v>
      </x:c>
      <x:c r="B42" s="75" t="n">
        <x:f>SUM(B39:B41)</x:f>
        <x:v>6158148</x:v>
      </x:c>
      <x:c r="C42" s="40"/>
      <x:c r="D42" s="72" t="str">
        <x:v>Gap range, low / high</x:v>
      </x:c>
      <x:c r="E42" s="73" t="n">
        <x:f>MIN(F40:F41)</x:f>
        <x:v>12130773.843185797</x:v>
      </x:c>
      <x:c r="F42" s="73" t="n">
        <x:f>MAX(F40:F41)</x:f>
        <x:v>13045418.71951089</x:v>
      </x:c>
      <x:c r="G42" s="40"/>
      <x:c r="H42" s="40"/>
      <x:c r="I42" s="40"/>
      <x:c r="J42" s="40"/>
      <x:c r="K42" s="40"/>
      <x:c r="L42" s="40"/>
      <x:c r="M42" s="40"/>
      <x:c r="N42" s="40"/>
      <x:c r="O42" s="40"/>
      <x:c r="P42" s="40"/>
    </x:row>
    <x:row r="43" ht="22" customHeight="1">
      <x:c r="A43" s="52" t="str">
        <x:v>Annual model NOI after tax</x:v>
      </x:c>
      <x:c r="B43" s="71" t="n">
        <x:f>'Lease Economics'!C26</x:f>
        <x:v>3444320.57952661</x:v>
      </x:c>
      <x:c r="C43" s="40"/>
      <x:c r="D43" s="72" t="str">
        <x:v>Incremental gap / designated home</x:v>
      </x:c>
      <x:c r="E43" s="73" t="n">
        <x:f>'Pro Forma'!C40</x:f>
        <x:v>318902.52437640127</x:v>
      </x:c>
      <x:c r="F43" s="73"/>
      <x:c r="G43" s="40"/>
      <x:c r="H43" s="40"/>
      <x:c r="I43" s="40"/>
      <x:c r="J43" s="40"/>
      <x:c r="K43" s="40"/>
      <x:c r="L43" s="40"/>
      <x:c r="M43" s="40"/>
      <x:c r="N43" s="40"/>
      <x:c r="O43" s="40"/>
      <x:c r="P43" s="40"/>
    </x:row>
    <x:row r="44" ht="22" customHeight="1">
      <x:c r="A44" s="52" t="str">
        <x:v>Indicated stabilized value</x:v>
      </x:c>
      <x:c r="B44" s="71" t="n">
        <x:f>'Pro Forma'!C35</x:f>
        <x:v>66236934.22166558</x:v>
      </x:c>
      <x:c r="C44" s="40"/>
      <x:c r="D44" s="40" t="str">
        <x:v>Benchmarks only; approved voucher contracts and actual utility allowances are unknown.</x:v>
      </x:c>
      <x:c r="E44" s="40"/>
      <x:c r="F44" s="40"/>
      <x:c r="G44" s="40"/>
      <x:c r="H44" s="40"/>
      <x:c r="I44" s="40"/>
      <x:c r="J44" s="40"/>
      <x:c r="K44" s="40"/>
      <x:c r="L44" s="40"/>
      <x:c r="M44" s="40"/>
      <x:c r="N44" s="40"/>
      <x:c r="O44" s="40"/>
      <x:c r="P44" s="40"/>
    </x:row>
    <x:row r="45" ht="22" customHeight="1">
      <x:c r="A45" s="52" t="str">
        <x:v>Development funding gap</x:v>
      </x:c>
      <x:c r="B45" s="71" t="n">
        <x:f>'Pro Forma'!C39</x:f>
        <x:v>13045418.71951089</x:v>
      </x:c>
      <x:c r="C45" s="40"/>
      <x:c r="D45" s="40" t="str">
        <x:v>The incremental gap is NOT a subsidy amount or project funding request.</x:v>
      </x:c>
      <x:c r="E45" s="40"/>
      <x:c r="F45" s="40"/>
      <x:c r="G45" s="40"/>
      <x:c r="H45" s="40"/>
      <x:c r="I45" s="40"/>
      <x:c r="J45" s="40"/>
      <x:c r="K45" s="40"/>
      <x:c r="L45" s="40"/>
      <x:c r="M45" s="40"/>
      <x:c r="N45" s="40"/>
      <x:c r="O45" s="40"/>
      <x:c r="P45" s="40"/>
    </x:row>
    <x:row r="46" ht="22" customHeight="1">
      <x:c r="A46" s="52" t="str">
        <x:v>Yield on cost</x:v>
      </x:c>
      <x:c r="B46" s="54" t="n">
        <x:f>'Pro Forma'!C36</x:f>
        <x:v>0.043443722994474236</x:v>
      </x:c>
      <x:c r="C46" s="40"/>
      <x:c r="D46" s="40"/>
      <x:c r="E46" s="40"/>
      <x:c r="F46" s="40"/>
      <x:c r="G46" s="40"/>
      <x:c r="H46" s="40"/>
      <x:c r="I46" s="40"/>
      <x:c r="J46" s="40"/>
      <x:c r="K46" s="40"/>
      <x:c r="L46" s="40"/>
      <x:c r="M46" s="40"/>
      <x:c r="N46" s="40"/>
      <x:c r="O46" s="40"/>
      <x:c r="P46" s="40"/>
    </x:row>
    <x:row r="47" ht="25" customHeight="1">
      <x:c r="A47" s="45" t="str">
        <x:v>SOURCES AND BOUNDARIES</x:v>
      </x:c>
      <x:c r="B47" s="45"/>
      <x:c r="C47" s="45"/>
      <x:c r="D47" s="45"/>
      <x:c r="E47" s="45"/>
      <x:c r="F47" s="45"/>
      <x:c r="G47" s="45"/>
      <x:c r="H47" s="45"/>
      <x:c r="I47" s="45"/>
      <x:c r="J47" s="45"/>
      <x:c r="K47" s="45"/>
      <x:c r="L47" s="45"/>
      <x:c r="M47" s="45"/>
      <x:c r="N47" s="45"/>
      <x:c r="O47" s="45"/>
      <x:c r="P47" s="45"/>
    </x:row>
    <x:row r="48" ht="22" customHeight="1">
      <x:c r="A48" s="76" t="str">
        <x:v>City 2025 maximum affordable rents, 60% AMI; standard size, Studio / 1BR / 2BR: $1,266 / $1,484 / $1,680.</x:v>
      </x:c>
      <x:c r="B48" s="76"/>
      <x:c r="C48" s="76"/>
      <x:c r="D48" s="76"/>
      <x:c r="E48" s="76"/>
      <x:c r="F48" s="76"/>
      <x:c r="G48" s="76"/>
      <x:c r="H48" s="76"/>
      <x:c r="I48" s="76"/>
      <x:c r="J48" s="76"/>
      <x:c r="K48" s="76"/>
      <x:c r="L48" s="76"/>
      <x:c r="M48" s="76"/>
      <x:c r="N48" s="76"/>
      <x:c r="O48" s="76"/>
      <x:c r="P48" s="76"/>
    </x:row>
    <x:row r="49" ht="22" customHeight="1">
      <x:c r="A49" s="76" t="str">
        <x:v>https://www.boston.gov/sites/default/files/file/2025/08/Income%20%26%20Rent%20Limits_August%204%2C%202025%20-%20AMI_%20Rent_%20Sales%20-%20All%20IDP.pdf</x:v>
      </x:c>
      <x:c r="B49" s="76"/>
      <x:c r="C49" s="76"/>
      <x:c r="D49" s="76"/>
      <x:c r="E49" s="76"/>
      <x:c r="F49" s="76"/>
      <x:c r="G49" s="76"/>
      <x:c r="H49" s="76"/>
      <x:c r="I49" s="76"/>
      <x:c r="J49" s="76"/>
      <x:c r="K49" s="76"/>
      <x:c r="L49" s="76"/>
      <x:c r="M49" s="76"/>
      <x:c r="N49" s="76"/>
      <x:c r="O49" s="76"/>
      <x:c r="P49" s="76"/>
    </x:row>
    <x:row r="50" ht="22" customHeight="1">
      <x:c r="A50" s="76" t="str">
        <x:v>BHA payment standards effective Jan 1 2026, ZIP 02135, Studio / 1BR / 2BR: $2,627 / $2,757 / $3,270.</x:v>
      </x:c>
      <x:c r="B50" s="76"/>
      <x:c r="C50" s="76"/>
      <x:c r="D50" s="76"/>
      <x:c r="E50" s="76"/>
      <x:c r="F50" s="76"/>
      <x:c r="G50" s="76"/>
      <x:c r="H50" s="76"/>
      <x:c r="I50" s="76"/>
      <x:c r="J50" s="76"/>
      <x:c r="K50" s="76"/>
      <x:c r="L50" s="76"/>
      <x:c r="M50" s="76"/>
      <x:c r="N50" s="76"/>
      <x:c r="O50" s="76"/>
      <x:c r="P50" s="76"/>
    </x:row>
    <x:row r="51" ht="22" customHeight="1">
      <x:c r="A51" s="76" t="str">
        <x:v>https://www.bostonhousing.org/BHA/media/Documents/Leased%20Housing/SAFMRs/2026-Payment-Standards-All-BR.pdf</x:v>
      </x:c>
      <x:c r="B51" s="76"/>
      <x:c r="C51" s="76"/>
      <x:c r="D51" s="76"/>
      <x:c r="E51" s="76"/>
      <x:c r="F51" s="76"/>
      <x:c r="G51" s="76"/>
      <x:c r="H51" s="76"/>
      <x:c r="I51" s="76"/>
      <x:c r="J51" s="76"/>
      <x:c r="K51" s="76"/>
      <x:c r="L51" s="76"/>
      <x:c r="M51" s="76"/>
      <x:c r="N51" s="76"/>
      <x:c r="O51" s="76"/>
      <x:c r="P51" s="76"/>
    </x:row>
    <x:row r="52" ht="22" customHeight="1">
      <x:c r="A52" s="76" t="str">
        <x:v>Policy: https://www.boston.gov/departments/housing/inclusionary-zoning | BHA notes standards are NOT suggested contract rents.</x:v>
      </x:c>
      <x:c r="B52" s="76"/>
      <x:c r="C52" s="76"/>
      <x:c r="D52" s="76"/>
      <x:c r="E52" s="76"/>
      <x:c r="F52" s="76"/>
      <x:c r="G52" s="76"/>
      <x:c r="H52" s="76"/>
      <x:c r="I52" s="76"/>
      <x:c r="J52" s="76"/>
      <x:c r="K52" s="76"/>
      <x:c r="L52" s="76"/>
      <x:c r="M52" s="76"/>
      <x:c r="N52" s="76"/>
      <x:c r="O52" s="76"/>
      <x:c r="P52" s="76"/>
    </x:row>
    <x:row r="53" ht="22" customHeight="1">
      <x:c r="A53" s="76" t="str">
        <x:v>Open items: actual Hew bedroom mix, 2026 IZ schedule, AMI distribution, utilities, contract rents, project-specific approval.</x:v>
      </x:c>
      <x:c r="B53" s="76"/>
      <x:c r="C53" s="76"/>
      <x:c r="D53" s="76"/>
      <x:c r="E53" s="76"/>
      <x:c r="F53" s="76"/>
      <x:c r="G53" s="76"/>
      <x:c r="H53" s="76"/>
      <x:c r="I53" s="76"/>
      <x:c r="J53" s="76"/>
      <x:c r="K53" s="76"/>
      <x:c r="L53" s="76"/>
      <x:c r="M53" s="76"/>
      <x:c r="N53" s="76"/>
      <x:c r="O53" s="76"/>
      <x:c r="P53" s="76"/>
    </x:row>
  </x:sheetData>
  <x:dataValidations count="1">
    <x:dataValidation type="whole" operator="between" sqref="B21">
      <x:formula1>1</x:formula1>
      <x:formula2>2</x:formula2>
    </x:dataValidation>
  </x:dataValidations>
  <x:pageMargins left="0.7" right="0.7" top="0.75" bottom="0.75" header="0.3" footer="0.3"/>
</x:worksheet>
</file>