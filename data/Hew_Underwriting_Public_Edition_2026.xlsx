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b84b7c7a8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84469414c449a8"/>
    <x:sheet xmlns:r="http://schemas.openxmlformats.org/officeDocument/2006/relationships" name="Inputs" sheetId="2" r:id="R92e9f91260594ac0"/>
    <x:sheet xmlns:r="http://schemas.openxmlformats.org/officeDocument/2006/relationships" name="Lease Economics" sheetId="3" r:id="Re69e95b471244c13"/>
    <x:sheet xmlns:r="http://schemas.openxmlformats.org/officeDocument/2006/relationships" name="Pro Forma" sheetId="4" r:id="R4b9f9e1a00274962"/>
    <x:sheet xmlns:r="http://schemas.openxmlformats.org/officeDocument/2006/relationships" name="Sensitivity" sheetId="5" r:id="R4626367bf8ab41b5"/>
    <x:sheet xmlns:r="http://schemas.openxmlformats.org/officeDocument/2006/relationships" name="Market Evidence" sheetId="6" r:id="Rba0b4bf2d4e5465f"/>
    <x:sheet xmlns:r="http://schemas.openxmlformats.org/officeDocument/2006/relationships" name="Hew Tax Evidence" sheetId="7" r:id="R29cd87ee6540449c"/>
    <x:sheet xmlns:r="http://schemas.openxmlformats.org/officeDocument/2006/relationships" name="Demand" sheetId="8" r:id="Ra2cbecc40cd94669"/>
    <x:sheet xmlns:r="http://schemas.openxmlformats.org/officeDocument/2006/relationships" name="Audit" sheetId="9" r:id="R459a2efe88704fc0"/>
    <x:sheet xmlns:r="http://schemas.openxmlformats.org/officeDocument/2006/relationships" name="How to use" sheetId="10" r:id="Rb52cc76139a5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;(#,##0);–"/>
    <x:numFmt numFmtId="201" formatCode="  @"/>
    <x:numFmt numFmtId="202" formatCode="0.0%;(0.0%);–"/>
    <x:numFmt numFmtId="203" formatCode="$#,##0;($#,##0);–"/>
    <x:numFmt numFmtId="204" formatCode="0.0"/>
    <x:numFmt numFmtId="205" formatCode="0.00%"/>
    <x:numFmt numFmtId="206" formatCode="0.0000%"/>
    <x:numFmt numFmtId="207" formatCode="0.0;(0.0);–"/>
    <x:numFmt numFmtId="208" formatCode="0.0%;(0.0%);0.0%"/>
    <x:numFmt numFmtId="209" formatCode="@"/>
    <x:numFmt numFmtId="210" formatCode="0.00;(0.00);–"/>
    <x:numFmt numFmtId="211" formatCode="0"/>
  </x:numFmts>
  <x:fonts count="7">
    <x:font>
      <x:sz val="11"/>
      <x:name val="Carlito"/>
    </x:font>
    <x:font>
      <x:sz val="10"/>
      <x:color rgb="FF24344A"/>
      <x:name val="Arial"/>
    </x:font>
    <x:font>
      <x:b/>
      <x:sz val="15"/>
      <x:color rgb="FF182942"/>
      <x:name val="Arial"/>
    </x:font>
    <x:font>
      <x:b/>
      <x:sz val="10"/>
      <x:color rgb="FFFFFFFF"/>
      <x:name val="Arial"/>
    </x:font>
    <x:font>
      <x:b/>
      <x:sz val="10"/>
      <x:color rgb="FF1D3556"/>
      <x:name val="Arial"/>
    </x:font>
    <x:font>
      <x:sz val="10"/>
      <x:color rgb="FF1556A7"/>
      <x:name val="Arial"/>
    </x:font>
    <x:font>
      <x:b/>
      <x:sz val="10"/>
      <x:color rgb="FF1556A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3556"/>
      </x:patternFill>
    </x:fill>
    <x:fill>
      <x:patternFill patternType="solid">
        <x:fgColor rgb="FFEAF0F7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1" fillId="3" borderId="0" xfId="0" applyNumberFormat="1" applyFont="1" applyFill="1" applyBorder="1"/>
    <x:xf numFmtId="201" fontId="4" fillId="3" borderId="0" xfId="0" applyNumberFormat="1" applyFont="1" applyFill="1" applyBorder="1"/>
    <x:xf numFmtId="200" fontId="5" fillId="0" borderId="0" xfId="0" applyNumberFormat="1" applyFont="1" applyFill="1" applyBorder="1"/>
    <x:xf numFmtId="200" fontId="6" fillId="3" borderId="0" xfId="0" applyNumberFormat="1" applyFont="1" applyFill="1" applyBorder="1"/>
    <x:xf numFmtId="200" fontId="5" fillId="4" borderId="0" xfId="0" applyNumberFormat="1" applyFont="1" applyFill="1" applyBorder="1"/>
    <x:xf numFmtId="200" fontId="1" fillId="4" borderId="0" xfId="0" applyNumberFormat="1" applyFont="1" applyFill="1" applyBorder="1"/>
    <x:xf numFmtId="202" fontId="5" fillId="4" borderId="0" xfId="0" applyNumberFormat="1" applyFont="1" applyFill="1" applyBorder="1"/>
    <x:xf numFmtId="202" fontId="5" fillId="0" borderId="0" xfId="0" applyNumberFormat="1" applyFont="1" applyFill="1" applyBorder="1"/>
    <x:xf numFmtId="203" fontId="5" fillId="4" borderId="0" xfId="0" applyNumberFormat="1" applyFont="1" applyFill="1" applyBorder="1"/>
    <x:xf numFmtId="203" fontId="1" fillId="0" borderId="0" xfId="0" applyNumberFormat="1" applyFont="1" applyFill="1" applyBorder="1"/>
    <x:xf numFmtId="204" fontId="5" fillId="4" borderId="0" xfId="0" applyNumberFormat="1" applyFont="1" applyFill="1" applyBorder="1"/>
    <x:xf numFmtId="205" fontId="5" fillId="4" borderId="0" xfId="0" applyNumberFormat="1" applyFont="1" applyFill="1" applyBorder="1"/>
    <x:xf numFmtId="206" fontId="5" fillId="0" borderId="0" xfId="0" applyNumberFormat="1" applyFont="1" applyFill="1" applyBorder="1"/>
    <x:xf numFmtId="207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4" fillId="3" borderId="0" xfId="0" applyNumberFormat="1" applyFont="1" applyFill="1" applyBorder="1"/>
    <x:xf numFmtId="202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  <x:xf numFmtId="202" fontId="4" fillId="3" borderId="0" xfId="0" applyNumberFormat="1" applyFont="1" applyFill="1" applyBorder="1"/>
    <x:xf numFmtId="208" fontId="1" fillId="0" borderId="0" xfId="0" applyNumberFormat="1" applyFont="1" applyFill="1" applyBorder="1"/>
    <x:xf numFmtId="208" fontId="4" fillId="3" borderId="0" xfId="0" applyNumberFormat="1" applyFont="1" applyFill="1" applyBorder="1"/>
    <x:xf numFmtId="203" fontId="3" fillId="2" borderId="0" xfId="0" applyNumberFormat="1" applyFont="1" applyFill="1" applyBorder="1"/>
    <x:xf numFmtId="202" fontId="1" fillId="3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04" fontId="1" fillId="0" borderId="0" xfId="0" applyNumberFormat="1" applyFont="1" applyFill="1" applyBorder="1"/>
    <x:xf numFmtId="211" fontId="1" fillId="0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209ea74d14756" /><Relationship Type="http://schemas.openxmlformats.org/officeDocument/2006/relationships/theme" Target="/xl/theme/theme1.xml" Id="R9cc58ca0eb504c59" /><Relationship Type="http://schemas.openxmlformats.org/officeDocument/2006/relationships/sharedStrings" Target="/xl/sharedStrings.xml" Id="R0a2ec43a8f994dd9" /><Relationship Type="http://schemas.openxmlformats.org/officeDocument/2006/relationships/worksheet" Target="/xl/worksheets/sheet1.xml" Id="Rdf84469414c449a8" /><Relationship Type="http://schemas.openxmlformats.org/officeDocument/2006/relationships/worksheet" Target="/xl/worksheets/sheet2.xml" Id="R92e9f91260594ac0" /><Relationship Type="http://schemas.openxmlformats.org/officeDocument/2006/relationships/worksheet" Target="/xl/worksheets/sheet3.xml" Id="Re69e95b471244c13" /><Relationship Type="http://schemas.openxmlformats.org/officeDocument/2006/relationships/worksheet" Target="/xl/worksheets/sheet4.xml" Id="R4b9f9e1a00274962" /><Relationship Type="http://schemas.openxmlformats.org/officeDocument/2006/relationships/worksheet" Target="/xl/worksheets/sheet5.xml" Id="R4626367bf8ab41b5" /><Relationship Type="http://schemas.openxmlformats.org/officeDocument/2006/relationships/worksheet" Target="/xl/worksheets/sheet6.xml" Id="Rba0b4bf2d4e5465f" /><Relationship Type="http://schemas.openxmlformats.org/officeDocument/2006/relationships/worksheet" Target="/xl/worksheets/sheet7.xml" Id="R29cd87ee6540449c" /><Relationship Type="http://schemas.openxmlformats.org/officeDocument/2006/relationships/worksheet" Target="/xl/worksheets/sheet8.xml" Id="Ra2cbecc40cd94669" /><Relationship Type="http://schemas.openxmlformats.org/officeDocument/2006/relationships/worksheet" Target="/xl/worksheets/sheet9.xml" Id="R459a2efe88704fc0" /><Relationship Type="http://schemas.openxmlformats.org/officeDocument/2006/relationships/worksheet" Target="/xl/worksheets/sheet10.xml" Id="Rb52cc76139a541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26" hidden="0" customWidth="1"/>
    <x:col min="3" max="3" width="26" hidden="0" customWidth="1"/>
    <x:col min="4" max="4" width="3" hidden="0" customWidth="1"/>
    <x:col min="5" max="5" width="72" hidden="0" customWidth="1"/>
  </x:cols>
  <x:sheetData>
    <x:row r="1" ht="20" customHeight="1">
      <x:c r="A1" s="2" t="str">
        <x:v>Hew at 1515 — Leasing and Public Tax Research</x:v>
      </x:c>
      <x:c r="B1" s="2"/>
      <x:c r="C1" s="2"/>
      <x:c r="D1" s="2"/>
      <x:c r="E1" s="2"/>
    </x:row>
    <x:row r="2" ht="20" customHeight="1">
      <x:c r="A2" s="1" t="str">
        <x:v>Research cutoff: 26 October 2026 | Public records plus first-hand market observations</x:v>
      </x:c>
      <x:c r="B2" s="1"/>
      <x:c r="C2" s="1"/>
      <x:c r="D2" s="1"/>
      <x:c r="E2" s="1"/>
    </x:row>
    <x:row r="3" ht="20" customHeight="1">
      <x:c r="A3" s="1"/>
      <x:c r="B3" s="1"/>
      <x:c r="C3" s="1"/>
      <x:c r="D3" s="1"/>
      <x:c r="E3" s="1"/>
    </x:row>
    <x:row r="4" ht="26" customHeight="1">
      <x:c r="A4" s="6" t="str">
        <x:v>Observed Hew metric</x:v>
      </x:c>
      <x:c r="B4" s="6" t="str">
        <x:v>FY2026 / latest</x:v>
      </x:c>
      <x:c r="C4" s="6" t="str">
        <x:v>Evidence class</x:v>
      </x:c>
      <x:c r="D4" s="1"/>
      <x:c r="E4" s="6" t="str">
        <x:v>Interpretation</x:v>
      </x:c>
    </x:row>
    <x:row r="5" ht="20" customHeight="1">
      <x:c r="A5" s="1" t="str">
        <x:v>Official municipal assessed value</x:v>
      </x:c>
      <x:c r="B5" s="20" t="n">
        <x:f>'Hew Tax Evidence'!C11</x:f>
        <x:v>85274300</x:v>
      </x:c>
      <x:c r="C5" s="4" t="str">
        <x:v>City of Boston</x:v>
      </x:c>
      <x:c r="D5" s="3"/>
      <x:c r="E5" s="1" t="str">
        <x:v>Verified parcel assessment, not an investor bid</x:v>
      </x:c>
    </x:row>
    <x:row r="6" ht="20" customHeight="1">
      <x:c r="A6" s="9" t="str">
        <x:v>Official reported net property tax</x:v>
      </x:c>
      <x:c r="B6" s="26" t="n">
        <x:f>'Hew Tax Evidence'!C15</x:f>
        <x:v>1063565.66</x:v>
      </x:c>
      <x:c r="C6" s="12" t="str">
        <x:v>City of Boston</x:v>
      </x:c>
      <x:c r="D6" s="10"/>
      <x:c r="E6" s="9" t="str">
        <x:v>FY2026 net tax; municipal billed figure differs by the reported exemption</x:v>
      </x:c>
    </x:row>
    <x:row r="7" ht="20" customHeight="1">
      <x:c r="A7" s="1" t="str">
        <x:v>Reported property tax / 150 homes</x:v>
      </x:c>
      <x:c r="B7" s="20" t="n">
        <x:f>'Hew Tax Evidence'!C17</x:f>
        <x:v>7090.437733333333</x:v>
      </x:c>
      <x:c r="C7" s="4" t="str">
        <x:v>City + 150-unit listing</x:v>
      </x:c>
      <x:c r="D7" s="3"/>
      <x:c r="E7" s="1" t="str">
        <x:v>Tax per home is a calculated comparison, not an owner accounting item</x:v>
      </x:c>
    </x:row>
    <x:row r="8" ht="20" customHeight="1">
      <x:c r="A8" s="1" t="str">
        <x:v>Observed Hew new-lease free rent</x:v>
      </x:c>
      <x:c r="B8" s="37" t="n">
        <x:f>Inputs!B22</x:f>
        <x:v>2</x:v>
      </x:c>
      <x:c r="C8" s="4" t="str">
        <x:v>Practitioner observation</x:v>
      </x:c>
      <x:c r="D8" s="3"/>
      <x:c r="E8" s="1" t="str">
        <x:v>2 months near October 2026; reportedly up to 2.5 months previously</x:v>
      </x:c>
    </x:row>
    <x:row r="9" ht="20" customHeight="1">
      <x:c r="A9" s="1" t="str">
        <x:v>Building-wide broker channel share</x:v>
      </x:c>
      <x:c r="B9" s="38" t="str">
        <x:v>Unavailable</x:v>
      </x:c>
      <x:c r="C9" s="4" t="str">
        <x:v>Unavailable Information</x:v>
      </x:c>
      <x:c r="D9" s="3"/>
      <x:c r="E9" s="1" t="str">
        <x:v>A complete leasing ledger is required.</x:v>
      </x:c>
    </x:row>
    <x:row r="10" ht="20" customHeight="1">
      <x:c r="A10" s="1" t="str">
        <x:v>Full-property turnover / broker share</x:v>
      </x:c>
      <x:c r="B10" s="3" t="str">
        <x:v>n.a.</x:v>
      </x:c>
      <x:c r="C10" s="4" t="str">
        <x:v>Unavailable</x:v>
      </x:c>
      <x:c r="D10" s="3"/>
      <x:c r="E10" s="1" t="str">
        <x:v>Listing counts cannot establish these building-wide rates.</x:v>
      </x:c>
    </x:row>
    <x:row r="11" ht="20" customHeight="1">
      <x:c r="A11" s="1"/>
      <x:c r="B11" s="3"/>
      <x:c r="C11" s="3"/>
      <x:c r="D11" s="3"/>
      <x:c r="E11" s="1"/>
    </x:row>
    <x:row r="12" ht="20" customHeight="1">
      <x:c r="A12" s="9" t="str">
        <x:v>SEPARATE EXERCISE: HYPOTHETICAL BRIGHTON DEVELOPMENT (NOT HEW ACTUAL NOI)</x:v>
      </x:c>
      <x:c r="B12" s="10"/>
      <x:c r="C12" s="10"/>
      <x:c r="D12" s="10"/>
      <x:c r="E12" s="9"/>
    </x:row>
    <x:row r="13" ht="20" customHeight="1">
      <x:c r="A13" s="1"/>
      <x:c r="B13" s="3"/>
      <x:c r="C13" s="3"/>
      <x:c r="D13" s="3"/>
      <x:c r="E13" s="1"/>
    </x:row>
    <x:row r="14" ht="26" customHeight="1">
      <x:c r="A14" s="6" t="str">
        <x:v>Illustrative scenario metric</x:v>
      </x:c>
      <x:c r="B14" s="29" t="str">
        <x:v>Market-rate model</x:v>
      </x:c>
      <x:c r="C14" s="29" t="str">
        <x:v>Mixed-income model</x:v>
      </x:c>
      <x:c r="D14" s="3"/>
      <x:c r="E14" s="6" t="str">
        <x:v>Interpretation</x:v>
      </x:c>
    </x:row>
    <x:row r="15" ht="20" customHeight="1">
      <x:c r="A15" s="1"/>
      <x:c r="B15" s="3"/>
      <x:c r="C15" s="3"/>
      <x:c r="D15" s="3"/>
      <x:c r="E15" s="1"/>
    </x:row>
    <x:row r="16" ht="20" customHeight="1">
      <x:c r="A16" s="1" t="str">
        <x:v>Homes</x:v>
      </x:c>
      <x:c r="B16" s="3" t="n">
        <x:f>'Lease Economics'!B5</x:f>
        <x:v>150</x:v>
      </x:c>
      <x:c r="C16" s="3" t="n">
        <x:f>'Lease Economics'!C5</x:f>
        <x:v>150</x:v>
      </x:c>
      <x:c r="D16" s="3"/>
      <x:c r="E16" s="1" t="str">
        <x:v>150-home modeling scale only</x:v>
      </x:c>
    </x:row>
    <x:row r="17" ht="20" customHeight="1">
      <x:c r="A17" s="1" t="str">
        <x:v>Restricted homes</x:v>
      </x:c>
      <x:c r="B17" s="3" t="n">
        <x:f>'Lease Economics'!B7</x:f>
        <x:v>0</x:v>
      </x:c>
      <x:c r="C17" s="3" t="n">
        <x:f>'Lease Economics'!C7</x:f>
        <x:v>26</x:v>
      </x:c>
      <x:c r="D17" s="3"/>
      <x:c r="E17" s="1" t="str">
        <x:v>17% of hypothetical homes rounded</x:v>
      </x:c>
    </x:row>
    <x:row r="18" ht="20" customHeight="1">
      <x:c r="A18" s="1" t="str">
        <x:v>Voucher set-aside homes</x:v>
      </x:c>
      <x:c r="B18" s="3" t="n">
        <x:f>'Lease Economics'!B8</x:f>
        <x:v>0</x:v>
      </x:c>
      <x:c r="C18" s="3" t="n">
        <x:f>'Lease Economics'!C8</x:f>
        <x:v>4</x:v>
      </x:c>
      <x:c r="D18" s="3"/>
      <x:c r="E18" s="1" t="str">
        <x:v>3% voucher proxy, pending actual policy rents</x:v>
      </x:c>
    </x:row>
    <x:row r="19" ht="20" customHeight="1">
      <x:c r="A19" s="9" t="str">
        <x:v>OPERATING SCENARIO</x:v>
      </x:c>
      <x:c r="B19" s="10"/>
      <x:c r="C19" s="10"/>
      <x:c r="D19" s="10"/>
      <x:c r="E19" s="9"/>
    </x:row>
    <x:row r="20" ht="20" customHeight="1">
      <x:c r="A20" s="1" t="str">
        <x:v>Effective gross income</x:v>
      </x:c>
      <x:c r="B20" s="20" t="n">
        <x:f>'Lease Economics'!B20</x:f>
        <x:v>6053355.46875</x:v>
      </x:c>
      <x:c r="C20" s="20" t="n">
        <x:f>'Lease Economics'!C20</x:f>
        <x:v>5446200.375</x:v>
      </x:c>
      <x:c r="D20" s="3"/>
      <x:c r="E20" s="1" t="str">
        <x:v>Concessions and vacancy are illustrative assumptions</x:v>
      </x:c>
    </x:row>
    <x:row r="21" ht="20" customHeight="1">
      <x:c r="A21" s="1" t="str">
        <x:v>Recurring expenses + management</x:v>
      </x:c>
      <x:c r="B21" s="20" t="n">
        <x:f>'Lease Economics'!B21+'Lease Economics'!B22</x:f>
        <x:v>-1141600.6640625</x:v>
      </x:c>
      <x:c r="C21" s="20" t="n">
        <x:f>'Lease Economics'!C21+'Lease Economics'!C22</x:f>
        <x:v>-1123386.01125</x:v>
      </x:c>
      <x:c r="D21" s="3"/>
      <x:c r="E21" s="1" t="str">
        <x:v>No inferred tenant utility bill or tenant renters insurance</x:v>
      </x:c>
    </x:row>
    <x:row r="22" ht="20" customHeight="1">
      <x:c r="A22" s="1" t="str">
        <x:v>Illustrative annual property tax</x:v>
      </x:c>
      <x:c r="B22" s="20" t="n">
        <x:f>'Lease Economics'!B25</x:f>
        <x:v>-953363.3558661314</x:v>
      </x:c>
      <x:c r="C22" s="20" t="n">
        <x:f>'Lease Economics'!C25</x:f>
        <x:v>-839051.0056971824</x:v>
      </x:c>
      <x:c r="D22" s="3"/>
      <x:c r="E22" s="1" t="str">
        <x:v>Loaded-cap approach for THE HYPOTHETICAL SITE only</x:v>
      </x:c>
    </x:row>
    <x:row r="23" ht="20" customHeight="1">
      <x:c r="A23" s="9" t="str">
        <x:v>Illustrative net operating income</x:v>
      </x:c>
      <x:c r="B23" s="26" t="n">
        <x:f>'Lease Economics'!B26</x:f>
        <x:v>3958391.4488213686</x:v>
      </x:c>
      <x:c r="C23" s="26" t="n">
        <x:f>'Lease Economics'!C26</x:f>
        <x:v>3483763.358052817</x:v>
      </x:c>
      <x:c r="D23" s="10"/>
      <x:c r="E23" s="9" t="str">
        <x:v>NOT Hew actual NOI</x:v>
      </x:c>
    </x:row>
    <x:row r="24" ht="20" customHeight="1">
      <x:c r="A24" s="1" t="str">
        <x:v>Cash after reserve and broker costs</x:v>
      </x:c>
      <x:c r="B24" s="20" t="n">
        <x:f>'Lease Economics'!B30</x:f>
        <x:v>3789149.2613213686</x:v>
      </x:c>
      <x:c r="C24" s="20" t="n">
        <x:f>'Lease Economics'!C30</x:f>
        <x:v>3339369.608052817</x:v>
      </x:c>
      <x:c r="D24" s="3"/>
      <x:c r="E24" s="1" t="str">
        <x:v>Illustrative only; no owner T-12 available</x:v>
      </x:c>
    </x:row>
    <x:row r="25" ht="20" customHeight="1">
      <x:c r="A25" s="9" t="str">
        <x:v>DEVELOPMENT FEASIBILITY</x:v>
      </x:c>
      <x:c r="B25" s="26"/>
      <x:c r="C25" s="26"/>
      <x:c r="D25" s="10"/>
      <x:c r="E25" s="9"/>
    </x:row>
    <x:row r="26" ht="20" customHeight="1">
      <x:c r="A26" s="1" t="str">
        <x:v>Hypothetical development cost</x:v>
      </x:c>
      <x:c r="B26" s="20" t="n">
        <x:f>'Pro Forma'!B17</x:f>
        <x:v>79282352.94117647</x:v>
      </x:c>
      <x:c r="C26" s="20" t="n">
        <x:f>'Pro Forma'!C17</x:f>
        <x:v>79282352.94117647</x:v>
      </x:c>
      <x:c r="D26" s="3"/>
      <x:c r="E26" s="1" t="str">
        <x:v>Original historical allocated land and new-build costs</x:v>
      </x:c>
    </x:row>
    <x:row r="27" ht="20" customHeight="1">
      <x:c r="A27" s="9" t="str">
        <x:v>Illustrative indicated property value</x:v>
      </x:c>
      <x:c r="B27" s="26" t="n">
        <x:f>'Pro Forma'!B35</x:f>
        <x:v>76122912.47733402</x:v>
      </x:c>
      <x:c r="C27" s="26" t="n">
        <x:f>'Pro Forma'!C35</x:f>
        <x:v>66995449.19332341</x:v>
      </x:c>
      <x:c r="D27" s="10"/>
      <x:c r="E27" s="9" t="str">
        <x:v>NOT Hew public assessment or an appraisal</x:v>
      </x:c>
    </x:row>
    <x:row r="28" ht="20" customHeight="1">
      <x:c r="A28" s="9" t="str">
        <x:v>Hypothetical development funding gap</x:v>
      </x:c>
      <x:c r="B28" s="26" t="n">
        <x:f>'Pro Forma'!B39</x:f>
        <x:v>3159440.4638424516</x:v>
      </x:c>
      <x:c r="C28" s="26" t="n">
        <x:f>'Pro Forma'!C39</x:f>
        <x:v>12286903.747853063</x:v>
      </x:c>
      <x:c r="D28" s="10"/>
      <x:c r="E28" s="9" t="str">
        <x:v>Modeled project costs less model value</x:v>
      </x:c>
    </x:row>
    <x:row r="29" ht="20" customHeight="1">
      <x:c r="A29" s="1" t="str">
        <x:v>Development yield on cost</x:v>
      </x:c>
      <x:c r="B29" s="27" t="n">
        <x:f>'Pro Forma'!B36</x:f>
        <x:v>0.04992777461786858</x:v>
      </x:c>
      <x:c r="C29" s="27" t="n">
        <x:f>'Pro Forma'!C36</x:f>
        <x:v>0.04394122057196757</x:v>
      </x:c>
      <x:c r="D29" s="3"/>
      <x:c r="E29" s="1" t="str">
        <x:v>Scenario sensitivity only, no debt or real bid</x:v>
      </x:c>
    </x:row>
    <x:row r="30" ht="20" customHeight="1">
      <x:c r="A30" s="1"/>
      <x:c r="B30" s="3"/>
      <x:c r="C30" s="3"/>
      <x:c r="D30" s="3"/>
      <x:c r="E30" s="1"/>
    </x:row>
    <x:row r="31" ht="20" customHeight="1">
      <x:c r="A31" s="9" t="str">
        <x:v>TAX COMPARISON — NOT A REPLACEMENT OF HYPOTHETICAL PROJECT ASSUMPTIONS</x:v>
      </x:c>
      <x:c r="B31" s="10"/>
      <x:c r="C31" s="10"/>
      <x:c r="D31" s="10"/>
      <x:c r="E31" s="9"/>
    </x:row>
    <x:row r="32" ht="20" customHeight="1">
      <x:c r="A32" s="1" t="str">
        <x:v>Hew FY2026 reported net tax</x:v>
      </x:c>
      <x:c r="B32" s="20" t="n">
        <x:f>'Hew Tax Evidence'!C15</x:f>
        <x:v>1063565.66</x:v>
      </x:c>
      <x:c r="C32" s="3"/>
      <x:c r="D32" s="3"/>
      <x:c r="E32" s="1" t="str">
        <x:v>From the separate official Hew public record</x:v>
      </x:c>
    </x:row>
    <x:row r="33" ht="20" customHeight="1">
      <x:c r="A33" s="1" t="str">
        <x:v>Hew tax less market-scenario tax</x:v>
      </x:c>
      <x:c r="B33" s="20" t="n">
        <x:f>'Hew Tax Evidence'!C19</x:f>
        <x:v>110202.30413386854</x:v>
      </x:c>
      <x:c r="C33" s="3"/>
      <x:c r="D33" s="3"/>
      <x:c r="E33" s="1" t="str">
        <x:v>Comparative delta only; NOT the difference between actual and projected Hew expenses</x:v>
      </x:c>
    </x:row>
    <x:row r="34" ht="20" customHeight="1">
      <x:c r="A34" s="1"/>
      <x:c r="B34" s="3"/>
      <x:c r="C34" s="3"/>
      <x:c r="D34" s="3"/>
      <x:c r="E34" s="1"/>
    </x:row>
    <x:row r="35" ht="20" customHeight="1">
      <x:c r="A35" s="9" t="str">
        <x:v>MAIN RESEARCH CONCLUSIONS</x:v>
      </x:c>
      <x:c r="B35" s="10"/>
      <x:c r="C35" s="10"/>
      <x:c r="D35" s="10"/>
      <x:c r="E35" s="9"/>
    </x:row>
    <x:row r="36" ht="20" customHeight="1">
      <x:c r="A36" s="1" t="str">
        <x:v>Leasing incentives vary over time; use effective rent and lease-specific concessions instead of asking rent alone.</x:v>
      </x:c>
      <x:c r="B36" s="3"/>
      <x:c r="C36" s="3"/>
      <x:c r="D36" s="3"/>
      <x:c r="E36" s="1"/>
    </x:row>
    <x:row r="37" ht="20" customHeight="1">
      <x:c r="A37" s="1" t="str">
        <x:v>Property tax is verified from Boston records. Staffing, full turnover, owner Internet fee economics and T-12 are unverified.</x:v>
      </x:c>
      <x:c r="B37" s="3"/>
      <x:c r="C37" s="3"/>
      <x:c r="D37" s="3"/>
      <x:c r="E37" s="1"/>
    </x:row>
    <x:row r="38" ht="20" customHeight="1">
      <x:c r="A38" s="1" t="str">
        <x:v>The historical development pro forma is a separate method demonstration and does not answer Hew acquisition pricing.</x:v>
      </x:c>
      <x:c r="B38" s="3"/>
      <x:c r="C38" s="3"/>
      <x:c r="D38" s="3"/>
      <x:c r="E38" s="1"/>
    </x:row>
    <x:row r="39" ht="20" customHeight="1">
      <x:c r="A39" s="1" t="str">
        <x:v>Report observations with their date and source; do not infer building-wide activity from partial records.</x:v>
      </x:c>
      <x:c r="B39" s="3"/>
      <x:c r="C39" s="3"/>
      <x:c r="D39" s="3"/>
      <x:c r="E39" s="1"/>
    </x:row>
    <x:row r="40" ht="20" customHeight="1">
      <x:c r="A40" s="1"/>
      <x:c r="B40" s="3"/>
      <x:c r="C40" s="3"/>
      <x:c r="D40" s="3"/>
      <x:c r="E40" s="1"/>
    </x:row>
    <x:row r="41" ht="20" customHeight="1">
      <x:c r="A41" s="1"/>
      <x:c r="B41" s="3"/>
      <x:c r="C41" s="3"/>
      <x:c r="D41" s="3"/>
      <x:c r="E4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9" hidden="0" customWidth="1"/>
    <x:col min="3" max="3" width="19" hidden="0" customWidth="1"/>
    <x:col min="4" max="4" width="28" hidden="0" customWidth="1"/>
    <x:col min="5" max="5" width="20" hidden="0" customWidth="1"/>
    <x:col min="6" max="6" width="76" hidden="0" customWidth="1"/>
  </x:cols>
  <x:sheetData>
    <x:row r="1" ht="20" customHeight="1">
      <x:c r="A1" s="2" t="str">
        <x:v>Inputs — Public-Data Scenario, Updated 26 October 2026</x:v>
      </x:c>
      <x:c r="B1" s="2"/>
      <x:c r="C1" s="2"/>
      <x:c r="D1" s="2"/>
      <x:c r="E1" s="2"/>
      <x:c r="F1" s="2"/>
    </x:row>
    <x:row r="2" ht="20" customHeight="1">
      <x:c r="A2" s="1" t="str">
        <x:v>Scenario values are illustrative unless specifically described as official or user-observed. Not Hew T-12.</x:v>
      </x:c>
      <x:c r="B2" s="1"/>
      <x:c r="C2" s="1"/>
      <x:c r="D2" s="1"/>
      <x:c r="E2" s="1"/>
      <x:c r="F2" s="1"/>
    </x:row>
    <x:row r="3" ht="20" customHeight="1">
      <x:c r="A3" s="1"/>
      <x:c r="B3" s="1"/>
      <x:c r="C3" s="1"/>
      <x:c r="D3" s="1"/>
      <x:c r="E3" s="1"/>
      <x:c r="F3" s="1"/>
    </x:row>
    <x:row r="4" ht="26" customHeight="1">
      <x:c r="A4" s="6" t="str">
        <x:v>Driver</x:v>
      </x:c>
      <x:c r="B4" s="6" t="str">
        <x:v>Value</x:v>
      </x:c>
      <x:c r="C4" s="6" t="str">
        <x:v>Unit</x:v>
      </x:c>
      <x:c r="D4" s="6" t="str">
        <x:v>Provenance</x:v>
      </x:c>
      <x:c r="E4" s="6" t="str">
        <x:v>Status</x:v>
      </x:c>
      <x:c r="F4" s="6" t="str">
        <x:v>Source / documentation</x:v>
      </x:c>
    </x:row>
    <x:row r="5" ht="20" customHeight="1">
      <x:c r="A5" s="9" t="str">
        <x:v>DEVELOPMENT / 150-UNIT HYPOTHESIS</x:v>
      </x:c>
      <x:c r="B5" s="10"/>
      <x:c r="C5" s="10"/>
      <x:c r="D5" s="10"/>
      <x:c r="E5" s="9"/>
      <x:c r="F5" s="9"/>
    </x:row>
    <x:row r="6" ht="20" customHeight="1">
      <x:c r="A6" s="1" t="str">
        <x:v>Units</x:v>
      </x:c>
      <x:c r="B6" s="15" t="n">
        <x:v>150</x:v>
      </x:c>
      <x:c r="C6" s="4" t="str">
        <x:v>units</x:v>
      </x:c>
      <x:c r="D6" s="3" t="str">
        <x:v>Hew reference scale</x:v>
      </x:c>
      <x:c r="E6" s="1" t="str">
        <x:v>Reference</x:v>
      </x:c>
      <x:c r="F6" s="1" t="str">
        <x:v>Original uploaded model; no building-specific financials</x:v>
      </x:c>
    </x:row>
    <x:row r="7" ht="20" customHeight="1">
      <x:c r="A7" s="1" t="str">
        <x:v>Average rentable area</x:v>
      </x:c>
      <x:c r="B7" s="15" t="n">
        <x:v>640</x:v>
      </x:c>
      <x:c r="C7" s="4" t="str">
        <x:v>sf / home</x:v>
      </x:c>
      <x:c r="D7" s="3" t="str">
        <x:v>Original model proxy</x:v>
      </x:c>
      <x:c r="E7" s="1" t="str">
        <x:v>Assumption</x:v>
      </x:c>
      <x:c r="F7" s="1" t="str">
        <x:v>Floor-plan sample is not a verified building-wide weighted average</x:v>
      </x:c>
    </x:row>
    <x:row r="8" ht="20" customHeight="1">
      <x:c r="A8" s="1" t="str">
        <x:v>Rentable efficiency</x:v>
      </x:c>
      <x:c r="B8" s="17" t="n">
        <x:v>0.85</x:v>
      </x:c>
      <x:c r="C8" s="4" t="str">
        <x:v>%</x:v>
      </x:c>
      <x:c r="D8" s="3" t="str">
        <x:v>Original model proxy</x:v>
      </x:c>
      <x:c r="E8" s="1" t="str">
        <x:v>Assumption</x:v>
      </x:c>
      <x:c r="F8" s="1" t="str">
        <x:v>Rentable area / gross area</x:v>
      </x:c>
    </x:row>
    <x:row r="9" ht="20" customHeight="1">
      <x:c r="A9" s="1" t="str">
        <x:v>Allocated land cost (2019)</x:v>
      </x:c>
      <x:c r="B9" s="19" t="n">
        <x:v>9400000</x:v>
      </x:c>
      <x:c r="C9" s="4" t="str">
        <x:v>USD</x:v>
      </x:c>
      <x:c r="D9" s="3" t="str">
        <x:v>2019 price allocation</x:v>
      </x:c>
      <x:c r="E9" s="1" t="str">
        <x:v>Estimate</x:v>
      </x:c>
      <x:c r="F9" s="1" t="str">
        <x:v>Historical allocation; not current land bid or appraisal</x:v>
      </x:c>
    </x:row>
    <x:row r="10" ht="20" customHeight="1">
      <x:c r="A10" s="1" t="str">
        <x:v>Hard development cost</x:v>
      </x:c>
      <x:c r="B10" s="19" t="n">
        <x:v>450</x:v>
      </x:c>
      <x:c r="C10" s="4" t="str">
        <x:v>USD / gross sf</x:v>
      </x:c>
      <x:c r="D10" s="3" t="str">
        <x:v>Original model proxy</x:v>
      </x:c>
      <x:c r="E10" s="1" t="str">
        <x:v>Assumption</x:v>
      </x:c>
      <x:c r="F10" s="1" t="str">
        <x:v>No verified site-specific construction budget</x:v>
      </x:c>
    </x:row>
    <x:row r="11" ht="20" customHeight="1">
      <x:c r="A11" s="1" t="str">
        <x:v>Soft cost / hard cost</x:v>
      </x:c>
      <x:c r="B11" s="17" t="n">
        <x:v>0.25</x:v>
      </x:c>
      <x:c r="C11" s="4" t="str">
        <x:v>%</x:v>
      </x:c>
      <x:c r="D11" s="3" t="str">
        <x:v>Original model proxy</x:v>
      </x:c>
      <x:c r="E11" s="1" t="str">
        <x:v>Assumption</x:v>
      </x:c>
      <x:c r="F11" s="1" t="str">
        <x:v>Design, approvals, professional costs</x:v>
      </x:c>
    </x:row>
    <x:row r="12" ht="20" customHeight="1">
      <x:c r="A12" s="1" t="str">
        <x:v>Contingency and financing / hard + soft</x:v>
      </x:c>
      <x:c r="B12" s="17" t="n">
        <x:v>0.1</x:v>
      </x:c>
      <x:c r="C12" s="4" t="str">
        <x:v>%</x:v>
      </x:c>
      <x:c r="D12" s="3" t="str">
        <x:v>Original model proxy</x:v>
      </x:c>
      <x:c r="E12" s="1" t="str">
        <x:v>Assumption</x:v>
      </x:c>
      <x:c r="F12" s="1" t="str">
        <x:v>Simplified construction finance, not a loan draw schedule</x:v>
      </x:c>
    </x:row>
    <x:row r="13" ht="20" customHeight="1">
      <x:c r="A13" s="9" t="str">
        <x:v>REVENUE AND HOUSING POLICY</x:v>
      </x:c>
      <x:c r="B13" s="14"/>
      <x:c r="C13" s="12"/>
      <x:c r="D13" s="10"/>
      <x:c r="E13" s="9"/>
      <x:c r="F13" s="9"/>
    </x:row>
    <x:row r="14" ht="20" customHeight="1">
      <x:c r="A14" s="1" t="str">
        <x:v>Market asking rent / home / month</x:v>
      </x:c>
      <x:c r="B14" s="19" t="n">
        <x:v>3875</x:v>
      </x:c>
      <x:c r="C14" s="4" t="str">
        <x:v>USD / month</x:v>
      </x:c>
      <x:c r="D14" s="3" t="str">
        <x:v>Original Oct 2026 model</x:v>
      </x:c>
      <x:c r="E14" s="1" t="str">
        <x:v>Estimate</x:v>
      </x:c>
      <x:c r="F14" s="1" t="str">
        <x:v>https://cyanninggg.github.io/real-estate-research/#/study ; incomplete mix</x:v>
      </x:c>
    </x:row>
    <x:row r="15" ht="20" customHeight="1">
      <x:c r="A15" s="1" t="str">
        <x:v>Affordable rent / home / month</x:v>
      </x:c>
      <x:c r="B15" s="19" t="n">
        <x:v>1440</x:v>
      </x:c>
      <x:c r="C15" s="4" t="str">
        <x:v>USD / month</x:v>
      </x:c>
      <x:c r="D15" s="3" t="str">
        <x:v>Original 2025 rent proxy</x:v>
      </x:c>
      <x:c r="E15" s="1" t="str">
        <x:v>Assumption</x:v>
      </x:c>
      <x:c r="F15" s="1" t="str">
        <x:v>Must update to 2026 AMI, utilities and actual bedroom distribution</x:v>
      </x:c>
    </x:row>
    <x:row r="16" ht="20" customHeight="1">
      <x:c r="A16" s="1" t="str">
        <x:v>Internet fee / market home / month</x:v>
      </x:c>
      <x:c r="B16" s="19" t="n">
        <x:v>70</x:v>
      </x:c>
      <x:c r="C16" s="4" t="str">
        <x:v>USD / month</x:v>
      </x:c>
      <x:c r="D16" s="3" t="str">
        <x:v>User-observed mandatory fee</x:v>
      </x:c>
      <x:c r="E16" s="1" t="str">
        <x:v>User observation</x:v>
      </x:c>
      <x:c r="F16" s="1" t="str">
        <x:v>Payer sees $70 fee; billing recipient and owner revenue accounting unverified</x:v>
      </x:c>
    </x:row>
    <x:row r="17" ht="20" customHeight="1">
      <x:c r="A17" s="1" t="str">
        <x:v>Economic vacancy and bad debt</x:v>
      </x:c>
      <x:c r="B17" s="17" t="n">
        <x:v>0.05</x:v>
      </x:c>
      <x:c r="C17" s="4" t="str">
        <x:v>%</x:v>
      </x:c>
      <x:c r="D17" s="3" t="str">
        <x:v>Original market scenario</x:v>
      </x:c>
      <x:c r="E17" s="1" t="str">
        <x:v>Assumption</x:v>
      </x:c>
      <x:c r="F17" s="1" t="str">
        <x:v>This is NOT the observed public-listing availability rate</x:v>
      </x:c>
    </x:row>
    <x:row r="18" ht="20" customHeight="1">
      <x:c r="A18" s="1" t="str">
        <x:v>Income-restricted share of all homes</x:v>
      </x:c>
      <x:c r="B18" s="17" t="n">
        <x:v>0.17</x:v>
      </x:c>
      <x:c r="C18" s="4" t="str">
        <x:v>%</x:v>
      </x:c>
      <x:c r="D18" s="3" t="str">
        <x:v>Boston Article 79 option</x:v>
      </x:c>
      <x:c r="E18" s="1" t="str">
        <x:v>Official framework</x:v>
      </x:c>
      <x:c r="F18" s="1" t="str">
        <x:v>https://www.bostonplans.org/projects/standards/inclusionary-development-policy</x:v>
      </x:c>
    </x:row>
    <x:row r="19" ht="20" customHeight="1">
      <x:c r="A19" s="1" t="str">
        <x:v>Voucher set-aside share of all homes</x:v>
      </x:c>
      <x:c r="B19" s="17" t="n">
        <x:v>0.03</x:v>
      </x:c>
      <x:c r="C19" s="4" t="str">
        <x:v>%</x:v>
      </x:c>
      <x:c r="D19" s="3" t="str">
        <x:v>Boston Article 79 option</x:v>
      </x:c>
      <x:c r="E19" s="1" t="str">
        <x:v>Official framework</x:v>
      </x:c>
      <x:c r="F19" s="1" t="str">
        <x:v>https://www.bostonplans.org/projects/standards/inclusionary-development-policy</x:v>
      </x:c>
    </x:row>
    <x:row r="20" ht="20" customHeight="1">
      <x:c r="A20" s="9" t="str">
        <x:v>LEASING AND CONCESSIONS</x:v>
      </x:c>
      <x:c r="B20" s="14"/>
      <x:c r="C20" s="12"/>
      <x:c r="D20" s="10"/>
      <x:c r="E20" s="9"/>
      <x:c r="F20" s="9"/>
    </x:row>
    <x:row r="21" ht="20" customHeight="1">
      <x:c r="A21" s="1" t="str">
        <x:v>Annual new-lease turnover / occupied homes</x:v>
      </x:c>
      <x:c r="B21" s="17" t="n">
        <x:v>0.45</x:v>
      </x:c>
      <x:c r="C21" s="4" t="str">
        <x:v>%</x:v>
      </x:c>
      <x:c r="D21" s="3" t="str">
        <x:v>Scenario only</x:v>
      </x:c>
      <x:c r="E21" s="1" t="str">
        <x:v>Assumption</x:v>
      </x:c>
      <x:c r="F21" s="1" t="str">
        <x:v>Do not confuse ACS mobility with building lease turnover</x:v>
      </x:c>
    </x:row>
    <x:row r="22" ht="20" customHeight="1">
      <x:c r="A22" s="1" t="str">
        <x:v>New-lease free rent</x:v>
      </x:c>
      <x:c r="B22" s="21" t="n">
        <x:v>2</x:v>
      </x:c>
      <x:c r="C22" s="4" t="str">
        <x:v>months</x:v>
      </x:c>
      <x:c r="D22" s="3" t="str">
        <x:v>User-observed Hew offer Oct 2026</x:v>
      </x:c>
      <x:c r="E22" s="1" t="str">
        <x:v>User observation</x:v>
      </x:c>
      <x:c r="F22" s="1" t="str">
        <x:v>Reached 2.5 months historically; not offered on all renewals</x:v>
      </x:c>
    </x:row>
    <x:row r="23" ht="20" customHeight="1">
      <x:c r="A23" s="1" t="str">
        <x:v>Share of renewing leases receiving promotion</x:v>
      </x:c>
      <x:c r="B23" s="17" t="n">
        <x:v>0.25</x:v>
      </x:c>
      <x:c r="C23" s="4" t="str">
        <x:v>%</x:v>
      </x:c>
      <x:c r="D23" s="3" t="str">
        <x:v>Modeling scenario</x:v>
      </x:c>
      <x:c r="E23" s="1" t="str">
        <x:v>Assumption</x:v>
      </x:c>
      <x:c r="F23" s="1" t="str">
        <x:v>No Hew retention-offer take-up disclosed</x:v>
      </x:c>
    </x:row>
    <x:row r="24" ht="20" customHeight="1">
      <x:c r="A24" s="1" t="str">
        <x:v>Free rent for eligible renewal</x:v>
      </x:c>
      <x:c r="B24" s="21" t="n">
        <x:v>1</x:v>
      </x:c>
      <x:c r="C24" s="4" t="str">
        <x:v>months</x:v>
      </x:c>
      <x:c r="D24" s="3" t="str">
        <x:v>User-reported May 2026 offer</x:v>
      </x:c>
      <x:c r="E24" s="1" t="str">
        <x:v>Historical report</x:v>
      </x:c>
      <x:c r="F24" s="1" t="str">
        <x:v>Not established as current policy or universal discount</x:v>
      </x:c>
    </x:row>
    <x:row r="25" ht="20" customHeight="1">
      <x:c r="A25" s="1" t="str">
        <x:v>Broker-sourced share of new leases</x:v>
      </x:c>
      <x:c r="B25" s="17" t="n">
        <x:v>0.5</x:v>
      </x:c>
      <x:c r="C25" s="4" t="str">
        <x:v>%</x:v>
      </x:c>
      <x:c r="D25" s="3" t="str">
        <x:v>Modeling scenario</x:v>
      </x:c>
      <x:c r="E25" s="1" t="str">
        <x:v>UNVERIFIED</x:v>
      </x:c>
      <x:c r="F25" s="1" t="str">
        <x:v>Assumed participation rate; the complete new-lease channel mix is unavailable.</x:v>
      </x:c>
    </x:row>
    <x:row r="26" ht="20" customHeight="1">
      <x:c r="A26" s="1" t="str">
        <x:v>Broker fee for broker-sourced new lease</x:v>
      </x:c>
      <x:c r="B26" s="21" t="n">
        <x:v>1</x:v>
      </x:c>
      <x:c r="C26" s="4" t="str">
        <x:v>months rent</x:v>
      </x:c>
      <x:c r="D26" s="3" t="str">
        <x:v>User-reported Hew broker policy</x:v>
      </x:c>
      <x:c r="E26" s="1" t="str">
        <x:v>User observation</x:v>
      </x:c>
      <x:c r="F26" s="1" t="str">
        <x:v>Cash leasing cost presented below NOI, not recurring rent</x:v>
      </x:c>
    </x:row>
    <x:row r="27" ht="20" customHeight="1">
      <x:c r="A27" s="9" t="str">
        <x:v>VALUATION AND PROPERTY TAX</x:v>
      </x:c>
      <x:c r="B27" s="14"/>
      <x:c r="C27" s="12"/>
      <x:c r="D27" s="10"/>
      <x:c r="E27" s="9"/>
      <x:c r="F27" s="9"/>
    </x:row>
    <x:row r="28" ht="20" customHeight="1">
      <x:c r="A28" s="1" t="str">
        <x:v>Management fee / effective gross income</x:v>
      </x:c>
      <x:c r="B28" s="17" t="n">
        <x:v>0.03</x:v>
      </x:c>
      <x:c r="C28" s="4" t="str">
        <x:v>%</x:v>
      </x:c>
      <x:c r="D28" s="3" t="str">
        <x:v>Underwriting allowance</x:v>
      </x:c>
      <x:c r="E28" s="1" t="str">
        <x:v>Assumption</x:v>
      </x:c>
      <x:c r="F28" s="1" t="str">
        <x:v>https://mfguide.fanniemae.com/node/3776</x:v>
      </x:c>
    </x:row>
    <x:row r="29" ht="20" customHeight="1">
      <x:c r="A29" s="1" t="str">
        <x:v>Stabilized capitalization rate</x:v>
      </x:c>
      <x:c r="B29" s="17" t="n">
        <x:v>0.052</x:v>
      </x:c>
      <x:c r="C29" s="4" t="str">
        <x:v>%</x:v>
      </x:c>
      <x:c r="D29" s="3" t="str">
        <x:v>Original model estimate</x:v>
      </x:c>
      <x:c r="E29" s="1" t="str">
        <x:v>Assumption</x:v>
      </x:c>
      <x:c r="F29" s="1" t="str">
        <x:v>Not a verified Hew transaction yield</x:v>
      </x:c>
    </x:row>
    <x:row r="30" ht="20" customHeight="1">
      <x:c r="A30" s="1" t="str">
        <x:v>FY2026 Boston residential property tax rate</x:v>
      </x:c>
      <x:c r="B30" s="22" t="n">
        <x:v>0.0124</x:v>
      </x:c>
      <x:c r="C30" s="4" t="str">
        <x:v>% of assessed value</x:v>
      </x:c>
      <x:c r="D30" s="3" t="str">
        <x:v>City of Boston</x:v>
      </x:c>
      <x:c r="E30" s="1" t="str">
        <x:v>Official FY2026</x:v>
      </x:c>
      <x:c r="F30" s="1" t="str">
        <x:v>https://content.boston.gov/departments/assessing/how-we-tax-your-property</x:v>
      </x:c>
    </x:row>
    <x:row r="31" ht="20" customHeight="1">
      <x:c r="A31" s="1" t="str">
        <x:v>CPA surcharge on computed property tax</x:v>
      </x:c>
      <x:c r="B31" s="17" t="n">
        <x:v>0.01</x:v>
      </x:c>
      <x:c r="C31" s="4" t="str">
        <x:v>% of bill</x:v>
      </x:c>
      <x:c r="D31" s="3" t="str">
        <x:v>City of Boston</x:v>
      </x:c>
      <x:c r="E31" s="1" t="str">
        <x:v>Official FY2026</x:v>
      </x:c>
      <x:c r="F31" s="1" t="str">
        <x:v>https://content.boston.gov/departments/assessing/community-preservation-act</x:v>
      </x:c>
    </x:row>
    <x:row r="32" ht="20" customHeight="1">
      <x:c r="A32" s="1" t="str">
        <x:v>Assessed value / modeled stabilized value</x:v>
      </x:c>
      <x:c r="B32" s="17" t="n">
        <x:v>1</x:v>
      </x:c>
      <x:c r="C32" s="4" t="str">
        <x:v>%</x:v>
      </x:c>
      <x:c r="D32" s="3" t="str">
        <x:v>Simplified loaded cap</x:v>
      </x:c>
      <x:c r="E32" s="1" t="str">
        <x:v>Assumption</x:v>
      </x:c>
      <x:c r="F32" s="1" t="str">
        <x:v>Actual city assessed value may be materially different</x:v>
      </x:c>
    </x:row>
    <x:row r="33" ht="20" customHeight="1">
      <x:c r="A33" s="1" t="str">
        <x:v>Approximate loaded property-tax rate</x:v>
      </x:c>
      <x:c r="B33" s="23" t="n">
        <x:f>B30*(1+B31)*B32</x:f>
        <x:v>0.012524</x:v>
      </x:c>
      <x:c r="C33" s="4" t="str">
        <x:v>% of value</x:v>
      </x:c>
      <x:c r="D33" s="3" t="str">
        <x:v>Tax × CPA × assessment ratio</x:v>
      </x:c>
      <x:c r="E33" s="1" t="str">
        <x:v>Derived</x:v>
      </x:c>
      <x:c r="F33" s="1" t="str">
        <x:v>CPA $100,000 assessed-value exclusion omitted; ~$12.40 difference per parcel</x:v>
      </x:c>
    </x:row>
    <x:row r="34" ht="20" customHeight="1">
      <x:c r="A34" s="9" t="str">
        <x:v>OPERATING COST COMPONENTS</x:v>
      </x:c>
      <x:c r="B34" s="14"/>
      <x:c r="C34" s="12"/>
      <x:c r="D34" s="10"/>
      <x:c r="E34" s="9"/>
      <x:c r="F34" s="9"/>
    </x:row>
    <x:row r="35" ht="20" customHeight="1">
      <x:c r="A35" s="1" t="str">
        <x:v>Payroll and benefits</x:v>
      </x:c>
      <x:c r="B35" s="19" t="n">
        <x:v>2000</x:v>
      </x:c>
      <x:c r="C35" s="4" t="str">
        <x:v>USD / home / year</x:v>
      </x:c>
      <x:c r="D35" s="3" t="str">
        <x:v>Prior bottom-up budget</x:v>
      </x:c>
      <x:c r="E35" s="1" t="str">
        <x:v>UNVERIFIED</x:v>
      </x:c>
      <x:c r="F35" s="1" t="str">
        <x:v>150 × $2,000 = $300,000/year; staffing and Greystar fee scope unavailable</x:v>
      </x:c>
    </x:row>
    <x:row r="36" ht="20" customHeight="1">
      <x:c r="A36" s="1" t="str">
        <x:v>Repairs and maintenance</x:v>
      </x:c>
      <x:c r="B36" s="19" t="n">
        <x:v>1000</x:v>
      </x:c>
      <x:c r="C36" s="4" t="str">
        <x:v>USD / home / year</x:v>
      </x:c>
      <x:c r="D36" s="3" t="str">
        <x:v>User-proposed bottom-up budget</x:v>
      </x:c>
      <x:c r="E36" s="1" t="str">
        <x:v>Assumption</x:v>
      </x:c>
      <x:c r="F36" s="1" t="str">
        <x:v>Not a Hew actual operating statement</x:v>
      </x:c>
    </x:row>
    <x:row r="37" ht="20" customHeight="1">
      <x:c r="A37" s="1" t="str">
        <x:v>Turnover cleaning / preparation</x:v>
      </x:c>
      <x:c r="B37" s="19" t="n">
        <x:v>500</x:v>
      </x:c>
      <x:c r="C37" s="4" t="str">
        <x:v>USD / home / year</x:v>
      </x:c>
      <x:c r="D37" s="3" t="str">
        <x:v>User-proposed bottom-up budget</x:v>
      </x:c>
      <x:c r="E37" s="1" t="str">
        <x:v>Assumption</x:v>
      </x:c>
      <x:c r="F37" s="1" t="str">
        <x:v>Average cost not linked dynamically to turnover rate</x:v>
      </x:c>
    </x:row>
    <x:row r="38" ht="20" customHeight="1">
      <x:c r="A38" s="1" t="str">
        <x:v>Common-area utilities</x:v>
      </x:c>
      <x:c r="B38" s="19" t="n">
        <x:v>1200</x:v>
      </x:c>
      <x:c r="C38" s="4" t="str">
        <x:v>USD / home / year</x:v>
      </x:c>
      <x:c r="D38" s="3" t="str">
        <x:v>Prior bottom-up budget</x:v>
      </x:c>
      <x:c r="E38" s="1" t="str">
        <x:v>UNVERIFIED</x:v>
      </x:c>
      <x:c r="F38" s="1" t="str">
        <x:v>In-unit utilities tenant-paid (Hew FAQ). Shared-area and building systems owner-cost proxy only</x:v>
      </x:c>
    </x:row>
    <x:row r="39" ht="20" customHeight="1">
      <x:c r="A39" s="1" t="str">
        <x:v>Property insurance</x:v>
      </x:c>
      <x:c r="B39" s="19" t="n">
        <x:v>900</x:v>
      </x:c>
      <x:c r="C39" s="4" t="str">
        <x:v>USD / home / year</x:v>
      </x:c>
      <x:c r="D39" s="3" t="str">
        <x:v>Prior bottom-up budget</x:v>
      </x:c>
      <x:c r="E39" s="1" t="str">
        <x:v>UNVERIFIED</x:v>
      </x:c>
      <x:c r="F39" s="1" t="str">
        <x:v>Owner building coverage only; tenant renters insurance is NOT owner expense</x:v>
      </x:c>
    </x:row>
    <x:row r="40" ht="20" customHeight="1">
      <x:c r="A40" s="1" t="str">
        <x:v>Advertising and marketing</x:v>
      </x:c>
      <x:c r="B40" s="19" t="n">
        <x:v>300</x:v>
      </x:c>
      <x:c r="C40" s="4" t="str">
        <x:v>USD / home / year</x:v>
      </x:c>
      <x:c r="D40" s="3" t="str">
        <x:v>User-proposed bottom-up budget</x:v>
      </x:c>
      <x:c r="E40" s="1" t="str">
        <x:v>Assumption</x:v>
      </x:c>
      <x:c r="F40" s="1" t="str">
        <x:v>Broker fees excluded from this line</x:v>
      </x:c>
    </x:row>
    <x:row r="41" ht="20" customHeight="1">
      <x:c r="A41" s="1" t="str">
        <x:v>Administration and miscellaneous</x:v>
      </x:c>
      <x:c r="B41" s="19" t="n">
        <x:v>500</x:v>
      </x:c>
      <x:c r="C41" s="4" t="str">
        <x:v>USD / home / year</x:v>
      </x:c>
      <x:c r="D41" s="3" t="str">
        <x:v>User-proposed bottom-up budget</x:v>
      </x:c>
      <x:c r="E41" s="1" t="str">
        <x:v>Assumption</x:v>
      </x:c>
      <x:c r="F41" s="1" t="str">
        <x:v>Not a verified Hew bill</x:v>
      </x:c>
    </x:row>
    <x:row r="42" ht="20" customHeight="1">
      <x:c r="A42" s="1" t="str">
        <x:v>Internet vendor procurement</x:v>
      </x:c>
      <x:c r="B42" s="19" t="n">
        <x:v>480</x:v>
      </x:c>
      <x:c r="C42" s="4" t="str">
        <x:v>USD / home / year</x:v>
      </x:c>
      <x:c r="D42" s="3" t="str">
        <x:v>Prior bottom-up budget</x:v>
      </x:c>
      <x:c r="E42" s="1" t="str">
        <x:v>UNVERIFIED</x:v>
      </x:c>
      <x:c r="F42" s="1" t="str">
        <x:v>Count only when owner-billed internet case is enabled at B49</x:v>
      </x:c>
    </x:row>
    <x:row r="43" ht="20" customHeight="1">
      <x:c r="A43" s="1" t="str">
        <x:v>Replacement reserve</x:v>
      </x:c>
      <x:c r="B43" s="19" t="n">
        <x:v>300</x:v>
      </x:c>
      <x:c r="C43" s="4" t="str">
        <x:v>USD / home / year</x:v>
      </x:c>
      <x:c r="D43" s="3" t="str">
        <x:v>User-proposed reserve</x:v>
      </x:c>
      <x:c r="E43" s="1" t="str">
        <x:v>Underwriting convention</x:v>
      </x:c>
      <x:c r="F43" s="1" t="str">
        <x:v>Below NOI as cash reserve in Fannie Mae-style NCF</x:v>
      </x:c>
    </x:row>
    <x:row r="44" ht="20" customHeight="1">
      <x:c r="A44" s="1" t="str">
        <x:v>Non-tax budget including reserve</x:v>
      </x:c>
      <x:c r="B44" s="20" t="n">
        <x:f>SUM(B35:B43)</x:f>
        <x:v>7180</x:v>
      </x:c>
      <x:c r="C44" s="4" t="str">
        <x:v>USD / home / year</x:v>
      </x:c>
      <x:c r="D44" s="3" t="str">
        <x:v>Components B35:B43</x:v>
      </x:c>
      <x:c r="E44" s="1" t="str">
        <x:v>Derived</x:v>
      </x:c>
      <x:c r="F44" s="1" t="str">
        <x:v>Must equal $7,180</x:v>
      </x:c>
    </x:row>
    <x:row r="45" ht="20" customHeight="1">
      <x:c r="A45" s="1" t="str">
        <x:v>Recurring non-tax opex for NOI</x:v>
      </x:c>
      <x:c r="B45" s="20" t="n">
        <x:f>B44-B43-B42*(1-B49)</x:f>
        <x:v>6400</x:v>
      </x:c>
      <x:c r="C45" s="4" t="str">
        <x:v>USD / home / year</x:v>
      </x:c>
      <x:c r="D45" s="3" t="str">
        <x:v>Excludes reserve and vendor cost if owner not collecting</x:v>
      </x:c>
      <x:c r="E45" s="1" t="str">
        <x:v>Derived</x:v>
      </x:c>
      <x:c r="F45" s="1" t="str">
        <x:v>Owner Internet Fee scenario B49 gates both fee revenue and procurement</x:v>
      </x:c>
    </x:row>
    <x:row r="46" ht="20" customHeight="1">
      <x:c r="A46" s="1"/>
      <x:c r="B46" s="3"/>
      <x:c r="C46" s="4"/>
      <x:c r="D46" s="3"/>
      <x:c r="E46" s="1"/>
      <x:c r="F46" s="1"/>
    </x:row>
    <x:row r="47" ht="20" customHeight="1">
      <x:c r="A47" s="1"/>
      <x:c r="B47" s="3"/>
      <x:c r="C47" s="4"/>
      <x:c r="D47" s="3"/>
      <x:c r="E47" s="1"/>
      <x:c r="F47" s="1"/>
    </x:row>
    <x:row r="48" ht="20" customHeight="1">
      <x:c r="A48" s="9" t="str">
        <x:v>OWNER-BILLED INTERNET ACCOUNTING SWITCH</x:v>
      </x:c>
      <x:c r="B48" s="10"/>
      <x:c r="C48" s="12"/>
      <x:c r="D48" s="10"/>
      <x:c r="E48" s="9"/>
      <x:c r="F48" s="9"/>
    </x:row>
    <x:row r="49" ht="20" customHeight="1">
      <x:c r="A49" s="1" t="str">
        <x:v>Owner-billed $70 internet fee? (0=no, 1=yes)</x:v>
      </x:c>
      <x:c r="B49" s="15" t="n">
        <x:v>0</x:v>
      </x:c>
      <x:c r="C49" s="4" t="str">
        <x:v>binary switch</x:v>
      </x:c>
      <x:c r="D49" s="3" t="str">
        <x:v>No invoice / recipient confirmation</x:v>
      </x:c>
      <x:c r="E49" s="1" t="str">
        <x:v>UNVERIFIED</x:v>
      </x:c>
      <x:c r="F49" s="1" t="str">
        <x:v>Base = 0: exclude BOTH $70 owner revenue and $480/vendor-year expense; switch to 1 only with evidence</x:v>
      </x:c>
    </x:row>
    <x:row r="50" ht="20" customHeight="1">
      <x:c r="A50" s="1"/>
      <x:c r="B50" s="3"/>
      <x:c r="C50" s="3"/>
      <x:c r="D50" s="3"/>
      <x:c r="E50" s="1"/>
      <x:c r="F50" s="1"/>
    </x:row>
    <x:row r="51" ht="20" customHeight="1">
      <x:c r="A51" s="1" t="str">
        <x:v>Public-tax actuals</x:v>
      </x:c>
      <x:c r="B51" s="3" t="str">
        <x:v>Hew FY2026 assessed value and reported property tax are in Hew Tax Evidence; NEVER substitute for hypothetical site tax without relabeling.</x:v>
      </x:c>
      <x:c r="C51" s="3"/>
      <x:c r="D51" s="3"/>
      <x:c r="E51" s="1"/>
      <x:c r="F51" s="1"/>
    </x:row>
    <x:row r="52" ht="20" customHeight="1">
      <x:c r="A52" s="1"/>
      <x:c r="B52" s="3"/>
      <x:c r="C52" s="3"/>
      <x:c r="D52" s="3"/>
      <x:c r="E52" s="1"/>
      <x:c r="F52" s="1"/>
    </x:row>
    <x:row r="53" ht="20" customHeight="1">
      <x:c r="A53" s="1" t="str">
        <x:v>Benchmarks</x:v>
      </x:c>
      <x:c r="B53" s="3" t="str">
        <x:v>NAA 2024 total opex: $8,657/home/year, INCLUDING taxes, insurance and management</x:v>
      </x:c>
      <x:c r="C53" s="3" t="str"/>
      <x:c r="D53" s="3" t="str"/>
      <x:c r="E53" s="1" t="str"/>
      <x:c r="F53" s="1" t="str">
        <x:v>https://naahq.org/news/momentum-management-navigating-elevated-costs-constrained-operating-environment</x:v>
      </x:c>
    </x:row>
    <x:row r="54" ht="20" customHeight="1">
      <x:c r="A54" s="1" t="str">
        <x:v>Comparison caveat</x:v>
      </x:c>
      <x:c r="B54" s="3" t="str">
        <x:v>NAA national average is not directly comparable to our bottom-up, tax-excluded and management-excluded budget.</x:v>
      </x:c>
      <x:c r="C54" s="3"/>
      <x:c r="D54" s="3"/>
      <x:c r="E54" s="1"/>
      <x:c r="F54" s="1"/>
    </x:row>
    <x:row r="55" ht="20" customHeight="1">
      <x:c r="A55" s="1"/>
      <x:c r="B55" s="3"/>
      <x:c r="C55" s="3"/>
      <x:c r="D55" s="3"/>
      <x:c r="E55" s="1"/>
      <x:c r="F55" s="1"/>
    </x:row>
    <x:row r="56" ht="20" customHeight="1">
      <x:c r="A56" s="1"/>
      <x:c r="B56" s="3"/>
      <x:c r="C56" s="3"/>
      <x:c r="D56" s="3"/>
      <x:c r="E56" s="1"/>
      <x:c r="F56" s="1"/>
    </x:row>
  </x:sheetData>
  <x:dataValidations count="1">
    <x:dataValidation type="list" sqref="B49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72" hidden="0" customWidth="1"/>
  </x:cols>
  <x:sheetData>
    <x:row r="1" ht="20" customHeight="1">
      <x:c r="A1" s="2" t="str">
        <x:v>Lease Economics — Modeled Annual Stabilization</x:v>
      </x:c>
      <x:c r="B1" s="2"/>
      <x:c r="C1" s="2"/>
      <x:c r="D1" s="2"/>
    </x:row>
    <x:row r="2" ht="20" customHeight="1">
      <x:c r="A2" s="1" t="str">
        <x:v>B = 150-unit market-rate thought experiment; C = 17% restricted + 3% voucher proxy. Hew actual NOI is unknown.</x:v>
      </x:c>
      <x:c r="B2" s="1"/>
      <x:c r="C2" s="1"/>
      <x:c r="D2" s="1"/>
    </x:row>
    <x:row r="3" ht="20" customHeight="1">
      <x:c r="A3" s="1"/>
      <x:c r="B3" s="1"/>
      <x:c r="C3" s="1"/>
      <x:c r="D3" s="1"/>
    </x:row>
    <x:row r="4" ht="26" customHeight="1">
      <x:c r="A4" s="6" t="str">
        <x:v>Annual leasing schedule</x:v>
      </x:c>
      <x:c r="B4" s="6" t="str">
        <x:v>Market rate</x:v>
      </x:c>
      <x:c r="C4" s="6" t="str">
        <x:v>Mixed income</x:v>
      </x:c>
      <x:c r="D4" s="6" t="str">
        <x:v>Basis</x:v>
      </x:c>
    </x:row>
    <x:row r="5" ht="20" customHeight="1">
      <x:c r="A5" s="1" t="str">
        <x:v>Homes</x:v>
      </x:c>
      <x:c r="B5" s="3" t="n">
        <x:f>Inputs!$B$6</x:f>
        <x:v>150</x:v>
      </x:c>
      <x:c r="C5" s="3" t="n">
        <x:f>Inputs!$B$6</x:f>
        <x:v>150</x:v>
      </x:c>
      <x:c r="D5" s="4"/>
    </x:row>
    <x:row r="6" ht="20" customHeight="1">
      <x:c r="A6" s="1" t="str">
        <x:v>Unrestricted market homes</x:v>
      </x:c>
      <x:c r="B6" s="3" t="n">
        <x:f>B5</x:f>
        <x:v>150</x:v>
      </x:c>
      <x:c r="C6" s="3" t="n">
        <x:f>C5-C7-C8</x:f>
        <x:v>120</x:v>
      </x:c>
      <x:c r="D6" s="4"/>
    </x:row>
    <x:row r="7" ht="20" customHeight="1">
      <x:c r="A7" s="1" t="str">
        <x:v>Income-restricted homes</x:v>
      </x:c>
      <x:c r="B7" s="3" t="n">
        <x:f>0</x:f>
        <x:v>0</x:v>
      </x:c>
      <x:c r="C7" s="3" t="n">
        <x:f>ROUND(C5*Inputs!$B$18,0)</x:f>
        <x:v>26</x:v>
      </x:c>
      <x:c r="D7" s="4" t="str">
        <x:v>Rounded from 17% of project</x:v>
      </x:c>
    </x:row>
    <x:row r="8" ht="20" customHeight="1">
      <x:c r="A8" s="1" t="str">
        <x:v>Voucher set-aside homes</x:v>
      </x:c>
      <x:c r="B8" s="3" t="n">
        <x:f>0</x:f>
        <x:v>0</x:v>
      </x:c>
      <x:c r="C8" s="3" t="n">
        <x:f>ROUND(C5*(Inputs!$B$18+Inputs!$B$19),0)-C7</x:f>
        <x:v>4</x:v>
      </x:c>
      <x:c r="D8" s="4" t="str">
        <x:v>3% voucher units use an UNVERIFIED market-rent proxy, not official SAFMR</x:v>
      </x:c>
    </x:row>
    <x:row r="9" ht="20" customHeight="1">
      <x:c r="A9" s="1" t="str">
        <x:v>Potential annual market + voucher rent</x:v>
      </x:c>
      <x:c r="B9" s="3" t="n">
        <x:f>(B6+B8)*Inputs!$B$14*12</x:f>
        <x:v>6975000</x:v>
      </x:c>
      <x:c r="C9" s="3" t="n">
        <x:f>(C6+C8)*Inputs!$B$14*12</x:f>
        <x:v>5766000</x:v>
      </x:c>
      <x:c r="D9" s="4"/>
    </x:row>
    <x:row r="10" ht="20" customHeight="1">
      <x:c r="A10" s="1" t="str">
        <x:v>Potential restricted rent</x:v>
      </x:c>
      <x:c r="B10" s="3" t="n">
        <x:f>B7*Inputs!$B$15*12</x:f>
        <x:v>0</x:v>
      </x:c>
      <x:c r="C10" s="3" t="n">
        <x:f>C7*Inputs!$B$15*12</x:f>
        <x:v>449280</x:v>
      </x:c>
      <x:c r="D10" s="4"/>
    </x:row>
    <x:row r="11" ht="20" customHeight="1">
      <x:c r="A11" s="9" t="str">
        <x:v>Total gross potential rent</x:v>
      </x:c>
      <x:c r="B11" s="10" t="n">
        <x:f>SUM(B9:B10)</x:f>
        <x:v>6975000</x:v>
      </x:c>
      <x:c r="C11" s="10" t="n">
        <x:f>SUM(C9:C10)</x:f>
        <x:v>6215280</x:v>
      </x:c>
      <x:c r="D11" s="12"/>
    </x:row>
    <x:row r="12" ht="20" customHeight="1">
      <x:c r="A12" s="1" t="str">
        <x:v>Economic vacancy / collection loss</x:v>
      </x:c>
      <x:c r="B12" s="3" t="n">
        <x:f>-B11*Inputs!$B$17</x:f>
        <x:v>-348750</x:v>
      </x:c>
      <x:c r="C12" s="3" t="n">
        <x:f>-C11*Inputs!$B$17</x:f>
        <x:v>-310764</x:v>
      </x:c>
      <x:c r="D12" s="4" t="str">
        <x:v>Vacancy scenario is not public-listing availability</x:v>
      </x:c>
    </x:row>
    <x:row r="13" ht="20" customHeight="1">
      <x:c r="A13" s="1" t="str">
        <x:v>Occupied market homes eligible for new deals</x:v>
      </x:c>
      <x:c r="B13" s="24" t="n">
        <x:f>B6*(1-Inputs!$B$17)</x:f>
        <x:v>142.5</x:v>
      </x:c>
      <x:c r="C13" s="24" t="n">
        <x:f>C6*(1-Inputs!$B$17)</x:f>
        <x:v>114</x:v>
      </x:c>
      <x:c r="D13" s="4"/>
    </x:row>
    <x:row r="14" ht="20" customHeight="1">
      <x:c r="A14" s="1" t="str">
        <x:v>Expected new market leases / year</x:v>
      </x:c>
      <x:c r="B14" s="24" t="n">
        <x:f>B13*Inputs!$B$21</x:f>
        <x:v>64.125</x:v>
      </x:c>
      <x:c r="C14" s="24" t="n">
        <x:f>C13*Inputs!$B$21</x:f>
        <x:v>51.300000000000004</x:v>
      </x:c>
      <x:c r="D14" s="4"/>
    </x:row>
    <x:row r="15" ht="20" customHeight="1">
      <x:c r="A15" s="1" t="str">
        <x:v>Expected market renewals / year</x:v>
      </x:c>
      <x:c r="B15" s="24" t="n">
        <x:f>B13*(1-Inputs!$B$21)</x:f>
        <x:v>78.375</x:v>
      </x:c>
      <x:c r="C15" s="24" t="n">
        <x:f>C13*(1-Inputs!$B$21)</x:f>
        <x:v>62.7</x:v>
      </x:c>
      <x:c r="D15" s="4"/>
    </x:row>
    <x:row r="16" ht="20" customHeight="1">
      <x:c r="A16" s="1" t="str">
        <x:v>New-lease free-rent deductions</x:v>
      </x:c>
      <x:c r="B16" s="3" t="n">
        <x:f>-B14*Inputs!$B$14*Inputs!$B$22</x:f>
        <x:v>-496968.75</x:v>
      </x:c>
      <x:c r="C16" s="3" t="n">
        <x:f>-C14*Inputs!$B$14*Inputs!$B$22</x:f>
        <x:v>-397575.00000000006</x:v>
      </x:c>
      <x:c r="D16" s="4" t="str">
        <x:v>Only new unrestricted market leases receive modeled free rent</x:v>
      </x:c>
    </x:row>
    <x:row r="17" ht="20" customHeight="1">
      <x:c r="A17" s="1" t="str">
        <x:v>Selective renewal free-rent deductions</x:v>
      </x:c>
      <x:c r="B17" s="3" t="n">
        <x:f>-B15*Inputs!$B$23*Inputs!$B$14*Inputs!$B$24</x:f>
        <x:v>-75925.78125</x:v>
      </x:c>
      <x:c r="C17" s="3" t="n">
        <x:f>-C15*Inputs!$B$23*Inputs!$B$14*Inputs!$B$24</x:f>
        <x:v>-60740.625</x:v>
      </x:c>
      <x:c r="D17" s="4" t="str">
        <x:v>Only selected renewals; historic one-month offer from May 2026</x:v>
      </x:c>
    </x:row>
    <x:row r="18" ht="20" customHeight="1">
      <x:c r="A18" s="9" t="str">
        <x:v>Rent after vacancy and concessions</x:v>
      </x:c>
      <x:c r="B18" s="10" t="n">
        <x:f>SUM(B11:B12)+SUM(B16:B17)</x:f>
        <x:v>6053355.46875</x:v>
      </x:c>
      <x:c r="C18" s="10" t="n">
        <x:f>SUM(C11:C12)+SUM(C16:C17)</x:f>
        <x:v>5446200.375</x:v>
      </x:c>
      <x:c r="D18" s="12"/>
    </x:row>
    <x:row r="19" ht="20" customHeight="1">
      <x:c r="A19" s="1" t="str">
        <x:v>Internet fee income (market homes only)</x:v>
      </x:c>
      <x:c r="B19" s="3" t="n">
        <x:f>B6*(1-Inputs!$B$17)*Inputs!$B$16*12*Inputs!$B$49</x:f>
        <x:v>0</x:v>
      </x:c>
      <x:c r="C19" s="3" t="n">
        <x:f>C6*(1-Inputs!$B$17)*Inputs!$B$16*12*Inputs!$B$49</x:f>
        <x:v>0</x:v>
      </x:c>
      <x:c r="D19" s="4" t="str">
        <x:v>Owner-billed income recognized only if Inputs B49 = 1; default 0 (billing channel unknown)</x:v>
      </x:c>
    </x:row>
    <x:row r="20" ht="20" customHeight="1">
      <x:c r="A20" s="9" t="str">
        <x:v>Effective gross income</x:v>
      </x:c>
      <x:c r="B20" s="10" t="n">
        <x:f>B18+B19</x:f>
        <x:v>6053355.46875</x:v>
      </x:c>
      <x:c r="C20" s="10" t="n">
        <x:f>C18+C19</x:f>
        <x:v>5446200.375</x:v>
      </x:c>
      <x:c r="D20" s="12"/>
    </x:row>
    <x:row r="21" ht="20" customHeight="1">
      <x:c r="A21" s="1" t="str">
        <x:v>Property management fee</x:v>
      </x:c>
      <x:c r="B21" s="3" t="n">
        <x:f>-B20*Inputs!$B$28</x:f>
        <x:v>-181600.6640625</x:v>
      </x:c>
      <x:c r="C21" s="3" t="n">
        <x:f>-C20*Inputs!$B$28</x:f>
        <x:v>-163386.01124999998</x:v>
      </x:c>
      <x:c r="D21" s="4"/>
    </x:row>
    <x:row r="22" ht="20" customHeight="1">
      <x:c r="A22" s="1" t="str">
        <x:v>Recurring non-tax operating expenses</x:v>
      </x:c>
      <x:c r="B22" s="3" t="n">
        <x:f>-B5*Inputs!$B$45</x:f>
        <x:v>-960000</x:v>
      </x:c>
      <x:c r="C22" s="3" t="n">
        <x:f>-C5*Inputs!$B$45</x:f>
        <x:v>-960000</x:v>
      </x:c>
      <x:c r="D22" s="4"/>
    </x:row>
    <x:row r="23" ht="20" customHeight="1">
      <x:c r="A23" s="9" t="str">
        <x:v>NOI before property tax</x:v>
      </x:c>
      <x:c r="B23" s="10" t="n">
        <x:f>SUM(B20:B22)</x:f>
        <x:v>4911754.8046875</x:v>
      </x:c>
      <x:c r="C23" s="10" t="n">
        <x:f>SUM(C20:C22)</x:f>
        <x:v>4322814.36375</x:v>
      </x:c>
      <x:c r="D23" s="12"/>
    </x:row>
    <x:row r="24" ht="20" customHeight="1">
      <x:c r="A24" s="1" t="str">
        <x:v>Indicated value (loaded cap method)</x:v>
      </x:c>
      <x:c r="B24" s="20" t="n">
        <x:f>IF(Inputs!$B$29+Inputs!$B$33&gt;0,B23/(Inputs!$B$29+Inputs!$B$33),"n.a.")</x:f>
        <x:v>76122912.47733402</x:v>
      </x:c>
      <x:c r="C24" s="20" t="n">
        <x:f>IF(Inputs!$B$29+Inputs!$B$33&gt;0,C23/(Inputs!$B$29+Inputs!$B$33),"n.a.")</x:f>
        <x:v>66995449.19332341</x:v>
      </x:c>
      <x:c r="D24" s="4" t="str">
        <x:v>NOI before tax / (capitalization rate + approximate property tax rate)</x:v>
      </x:c>
    </x:row>
    <x:row r="25" ht="20" customHeight="1">
      <x:c r="A25" s="1" t="str">
        <x:v>Indicative city property tax</x:v>
      </x:c>
      <x:c r="B25" s="20" t="n">
        <x:f>-B24*Inputs!$B$33</x:f>
        <x:v>-953363.3558661314</x:v>
      </x:c>
      <x:c r="C25" s="20" t="n">
        <x:f>-C24*Inputs!$B$33</x:f>
        <x:v>-839051.0056971824</x:v>
      </x:c>
      <x:c r="D25" s="4"/>
    </x:row>
    <x:row r="26" ht="20" customHeight="1">
      <x:c r="A26" s="9" t="str">
        <x:v>NOI after property tax</x:v>
      </x:c>
      <x:c r="B26" s="26" t="n">
        <x:f>B23+B25</x:f>
        <x:v>3958391.4488213686</x:v>
      </x:c>
      <x:c r="C26" s="26" t="n">
        <x:f>C23+C25</x:f>
        <x:v>3483763.358052817</x:v>
      </x:c>
      <x:c r="D26" s="12"/>
    </x:row>
    <x:row r="27" ht="20" customHeight="1">
      <x:c r="A27" s="1" t="str">
        <x:v>Value cross-check (NOI / cap rate)</x:v>
      </x:c>
      <x:c r="B27" s="20" t="n">
        <x:f>IF(Inputs!$B$29&gt;0,B26/Inputs!$B$29,"n.a.")</x:f>
        <x:v>76122912.47733402</x:v>
      </x:c>
      <x:c r="C27" s="20" t="n">
        <x:f>IF(Inputs!$B$29&gt;0,C26/Inputs!$B$29,"n.a.")</x:f>
        <x:v>66995449.19332341</x:v>
      </x:c>
      <x:c r="D27" s="4"/>
    </x:row>
    <x:row r="28" ht="20" customHeight="1">
      <x:c r="A28" s="1" t="str">
        <x:v>Replacement reserve below NOI</x:v>
      </x:c>
      <x:c r="B28" s="20" t="n">
        <x:f>-B5*Inputs!$B$43</x:f>
        <x:v>-45000</x:v>
      </x:c>
      <x:c r="C28" s="20" t="n">
        <x:f>-C5*Inputs!$B$43</x:f>
        <x:v>-45000</x:v>
      </x:c>
      <x:c r="D28" s="4"/>
    </x:row>
    <x:row r="29" ht="20" customHeight="1">
      <x:c r="A29" s="1" t="str">
        <x:v>Broker commission below NOI</x:v>
      </x:c>
      <x:c r="B29" s="20" t="n">
        <x:f>-B14*Inputs!$B$14*Inputs!$B$25*Inputs!$B$26</x:f>
        <x:v>-124242.1875</x:v>
      </x:c>
      <x:c r="C29" s="20" t="n">
        <x:f>-C14*Inputs!$B$14*Inputs!$B$25*Inputs!$B$26</x:f>
        <x:v>-99393.75000000001</x:v>
      </x:c>
      <x:c r="D29" s="4" t="str">
        <x:v>Broker-sourced new leases only; separated from NOI for clarity</x:v>
      </x:c>
    </x:row>
    <x:row r="30" ht="20" customHeight="1">
      <x:c r="A30" s="9" t="str">
        <x:v>Net cash after reserve and broker expense</x:v>
      </x:c>
      <x:c r="B30" s="26" t="n">
        <x:f>SUM(B26,B28:B29)</x:f>
        <x:v>3789149.2613213686</x:v>
      </x:c>
      <x:c r="C30" s="26" t="n">
        <x:f>SUM(C26,C28:C29)</x:f>
        <x:v>3339369.608052817</x:v>
      </x:c>
      <x:c r="D30" s="12" t="str">
        <x:v>Illustrative annual cash, not audited owner distributions</x:v>
      </x:c>
    </x:row>
    <x:row r="31" ht="20" customHeight="1">
      <x:c r="A31" s="1" t="str">
        <x:v>Monthly effective market rent / occupied home</x:v>
      </x:c>
      <x:c r="B31" s="20" t="n">
        <x:f>IF(B13&gt;0,B33/B13/12,"n.a.")</x:f>
        <x:v>3539.9739583333335</x:v>
      </x:c>
      <x:c r="C31" s="20" t="n">
        <x:f>IF(C13&gt;0,C33/C13/12,"n.a.")</x:f>
        <x:v>3539.9739583333335</x:v>
      </x:c>
      <x:c r="D31" s="4"/>
    </x:row>
    <x:row r="32" ht="20" customHeight="1">
      <x:c r="A32" s="1" t="str">
        <x:v>Expected broker cost / new lease</x:v>
      </x:c>
      <x:c r="B32" s="20" t="n">
        <x:f>Inputs!$B$14*Inputs!$B$25*Inputs!$B$26</x:f>
        <x:v>1937.5</x:v>
      </x:c>
      <x:c r="C32" s="20" t="n">
        <x:f>Inputs!$B$14*Inputs!$B$25*Inputs!$B$26</x:f>
        <x:v>1937.5</x:v>
      </x:c>
      <x:c r="D32" s="4"/>
    </x:row>
    <x:row r="33" ht="20" customHeight="1">
      <x:c r="A33" s="1" t="str">
        <x:v>Net market rent after vacancy and free rent</x:v>
      </x:c>
      <x:c r="B33" s="3" t="n">
        <x:f>B9*(1-Inputs!$B$17)+B16+B17</x:f>
        <x:v>6053355.46875</x:v>
      </x:c>
      <x:c r="C33" s="3" t="n">
        <x:f>C6*Inputs!$B$14*12*(1-Inputs!$B$17)+C16+C17</x:f>
        <x:v>4842684.375</x:v>
      </x:c>
      <x:c r="D33" s="4"/>
    </x:row>
    <x:row r="34" ht="20" customHeight="1">
      <x:c r="A34" s="1"/>
      <x:c r="B34" s="3"/>
      <x:c r="C34" s="3"/>
      <x:c r="D34" s="3"/>
    </x:row>
    <x:row r="35" ht="20" customHeight="1">
      <x:c r="A35" s="1"/>
      <x:c r="B35" s="3"/>
      <x:c r="C35" s="3"/>
      <x:c r="D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58" hidden="0" customWidth="1"/>
  </x:cols>
  <x:sheetData>
    <x:row r="1" ht="20" customHeight="1">
      <x:c r="A1" s="2" t="str">
        <x:v>Development Pro Forma — One Stabilized Year</x:v>
      </x:c>
      <x:c r="B1" s="2"/>
      <x:c r="C1" s="2"/>
      <x:c r="D1" s="2"/>
    </x:row>
    <x:row r="2" ht="20" customHeight="1">
      <x:c r="A2" s="1" t="str">
        <x:v>Illustrative new 150-unit Brighton building; no verified purchase price, actual rent roll, T-12, debt or construction schedule.</x:v>
      </x:c>
      <x:c r="B2" s="1"/>
      <x:c r="C2" s="1"/>
      <x:c r="D2" s="1"/>
    </x:row>
    <x:row r="3" ht="20" customHeight="1">
      <x:c r="A3" s="1"/>
      <x:c r="B3" s="1"/>
      <x:c r="C3" s="1"/>
      <x:c r="D3" s="1"/>
    </x:row>
    <x:row r="4" ht="26" customHeight="1">
      <x:c r="A4" s="6" t="str">
        <x:v>Development / operating metric</x:v>
      </x:c>
      <x:c r="B4" s="6" t="str">
        <x:v>Market rate</x:v>
      </x:c>
      <x:c r="C4" s="6" t="str">
        <x:v>Mixed income</x:v>
      </x:c>
      <x:c r="D4" s="6" t="str">
        <x:v>Meaning</x:v>
      </x:c>
    </x:row>
    <x:row r="5" ht="20" customHeight="1">
      <x:c r="A5" s="9" t="str">
        <x:v>HOUSING MIX AND AREA</x:v>
      </x:c>
      <x:c r="B5" s="10"/>
      <x:c r="C5" s="10"/>
      <x:c r="D5" s="12"/>
    </x:row>
    <x:row r="6" ht="20" customHeight="1">
      <x:c r="A6" s="1" t="str">
        <x:v>Total homes</x:v>
      </x:c>
      <x:c r="B6" s="3" t="n">
        <x:f>'Lease Economics'!B5</x:f>
        <x:v>150</x:v>
      </x:c>
      <x:c r="C6" s="3" t="n">
        <x:f>'Lease Economics'!C5</x:f>
        <x:v>150</x:v>
      </x:c>
      <x:c r="D6" s="4"/>
    </x:row>
    <x:row r="7" ht="20" customHeight="1">
      <x:c r="A7" s="1" t="str">
        <x:v>Restricted homes</x:v>
      </x:c>
      <x:c r="B7" s="3" t="n">
        <x:f>'Lease Economics'!B7</x:f>
        <x:v>0</x:v>
      </x:c>
      <x:c r="C7" s="3" t="n">
        <x:f>'Lease Economics'!C7</x:f>
        <x:v>26</x:v>
      </x:c>
      <x:c r="D7" s="4"/>
    </x:row>
    <x:row r="8" ht="20" customHeight="1">
      <x:c r="A8" s="1" t="str">
        <x:v>Voucher set-aside homes</x:v>
      </x:c>
      <x:c r="B8" s="3" t="n">
        <x:f>'Lease Economics'!B8</x:f>
        <x:v>0</x:v>
      </x:c>
      <x:c r="C8" s="3" t="n">
        <x:f>'Lease Economics'!C8</x:f>
        <x:v>4</x:v>
      </x:c>
      <x:c r="D8" s="4" t="str">
        <x:v>Voucher rent proxied at market rent; verify actual SAFMR</x:v>
      </x:c>
    </x:row>
    <x:row r="9" ht="20" customHeight="1">
      <x:c r="A9" s="1" t="str">
        <x:v>Unrestricted market homes</x:v>
      </x:c>
      <x:c r="B9" s="3" t="n">
        <x:f>'Lease Economics'!B6</x:f>
        <x:v>150</x:v>
      </x:c>
      <x:c r="C9" s="3" t="n">
        <x:f>'Lease Economics'!C6</x:f>
        <x:v>120</x:v>
      </x:c>
      <x:c r="D9" s="4"/>
    </x:row>
    <x:row r="10" ht="20" customHeight="1">
      <x:c r="A10" s="1" t="str">
        <x:v>Total rentable floor area</x:v>
      </x:c>
      <x:c r="B10" s="3" t="n">
        <x:f>B6*Inputs!$B$7</x:f>
        <x:v>96000</x:v>
      </x:c>
      <x:c r="C10" s="3" t="n">
        <x:f>C6*Inputs!$B$7</x:f>
        <x:v>96000</x:v>
      </x:c>
      <x:c r="D10" s="4"/>
    </x:row>
    <x:row r="11" ht="20" customHeight="1">
      <x:c r="A11" s="1" t="str">
        <x:v>Total gross building area</x:v>
      </x:c>
      <x:c r="B11" s="3" t="n">
        <x:f>B10/Inputs!$B$8</x:f>
        <x:v>112941.17647058824</x:v>
      </x:c>
      <x:c r="C11" s="3" t="n">
        <x:f>C10/Inputs!$B$8</x:f>
        <x:v>112941.17647058824</x:v>
      </x:c>
      <x:c r="D11" s="4"/>
    </x:row>
    <x:row r="12" ht="20" customHeight="1">
      <x:c r="A12" s="9" t="str">
        <x:v>DEVELOPMENT COST</x:v>
      </x:c>
      <x:c r="B12" s="10"/>
      <x:c r="C12" s="10"/>
      <x:c r="D12" s="12"/>
    </x:row>
    <x:row r="13" ht="20" customHeight="1">
      <x:c r="A13" s="1" t="str">
        <x:v>Historical allocated land cost</x:v>
      </x:c>
      <x:c r="B13" s="20" t="n">
        <x:f>Inputs!$B$9</x:f>
        <x:v>9400000</x:v>
      </x:c>
      <x:c r="C13" s="20" t="n">
        <x:f>Inputs!$B$9</x:f>
        <x:v>9400000</x:v>
      </x:c>
      <x:c r="D13" s="4"/>
    </x:row>
    <x:row r="14" ht="20" customHeight="1">
      <x:c r="A14" s="1" t="str">
        <x:v>Hard development cost</x:v>
      </x:c>
      <x:c r="B14" s="20" t="n">
        <x:f>B11*Inputs!$B$10</x:f>
        <x:v>50823529.4117647</x:v>
      </x:c>
      <x:c r="C14" s="20" t="n">
        <x:f>C11*Inputs!$B$10</x:f>
        <x:v>50823529.4117647</x:v>
      </x:c>
      <x:c r="D14" s="4"/>
    </x:row>
    <x:row r="15" ht="20" customHeight="1">
      <x:c r="A15" s="1" t="str">
        <x:v>Soft development cost</x:v>
      </x:c>
      <x:c r="B15" s="20" t="n">
        <x:f>B14*Inputs!$B$11</x:f>
        <x:v>12705882.352941176</x:v>
      </x:c>
      <x:c r="C15" s="20" t="n">
        <x:f>C14*Inputs!$B$11</x:f>
        <x:v>12705882.352941176</x:v>
      </x:c>
      <x:c r="D15" s="4"/>
    </x:row>
    <x:row r="16" ht="20" customHeight="1">
      <x:c r="A16" s="1" t="str">
        <x:v>Contingency and simplified construction finance</x:v>
      </x:c>
      <x:c r="B16" s="20" t="n">
        <x:f>(B14+B15)*Inputs!$B$12</x:f>
        <x:v>6352941.176470589</x:v>
      </x:c>
      <x:c r="C16" s="20" t="n">
        <x:f>(C14+C15)*Inputs!$B$12</x:f>
        <x:v>6352941.176470589</x:v>
      </x:c>
      <x:c r="D16" s="4"/>
    </x:row>
    <x:row r="17" ht="20" customHeight="1">
      <x:c r="A17" s="9" t="str">
        <x:v>Total development cost</x:v>
      </x:c>
      <x:c r="B17" s="26" t="n">
        <x:f>SUM(B13:B16)</x:f>
        <x:v>79282352.94117647</x:v>
      </x:c>
      <x:c r="C17" s="26" t="n">
        <x:f>SUM(C13:C16)</x:f>
        <x:v>79282352.94117647</x:v>
      </x:c>
      <x:c r="D17" s="12"/>
    </x:row>
    <x:row r="18" ht="20" customHeight="1">
      <x:c r="A18" s="1" t="str">
        <x:v>Development cost / home</x:v>
      </x:c>
      <x:c r="B18" s="20" t="n">
        <x:f>B17/B6</x:f>
        <x:v>528549.0196078431</x:v>
      </x:c>
      <x:c r="C18" s="20" t="n">
        <x:f>C17/C6</x:f>
        <x:v>528549.0196078431</x:v>
      </x:c>
      <x:c r="D18" s="4"/>
    </x:row>
    <x:row r="19" ht="20" customHeight="1">
      <x:c r="A19" s="9" t="str">
        <x:v>STABILIZED OPERATIONS</x:v>
      </x:c>
      <x:c r="B19" s="26"/>
      <x:c r="C19" s="26"/>
      <x:c r="D19" s="12"/>
    </x:row>
    <x:row r="20" ht="20" customHeight="1">
      <x:c r="A20" s="1" t="str">
        <x:v>Gross potential residential rent</x:v>
      </x:c>
      <x:c r="B20" s="20" t="n">
        <x:f>'Lease Economics'!B11</x:f>
        <x:v>6975000</x:v>
      </x:c>
      <x:c r="C20" s="20" t="n">
        <x:f>'Lease Economics'!C11</x:f>
        <x:v>6215280</x:v>
      </x:c>
      <x:c r="D20" s="4"/>
    </x:row>
    <x:row r="21" ht="20" customHeight="1">
      <x:c r="A21" s="1" t="str">
        <x:v>Economic vacancy</x:v>
      </x:c>
      <x:c r="B21" s="20" t="n">
        <x:f>'Lease Economics'!B12</x:f>
        <x:v>-348750</x:v>
      </x:c>
      <x:c r="C21" s="20" t="n">
        <x:f>'Lease Economics'!C12</x:f>
        <x:v>-310764</x:v>
      </x:c>
      <x:c r="D21" s="4"/>
    </x:row>
    <x:row r="22" ht="20" customHeight="1">
      <x:c r="A22" s="1" t="str">
        <x:v>New-lease concessions</x:v>
      </x:c>
      <x:c r="B22" s="20" t="n">
        <x:f>'Lease Economics'!B16</x:f>
        <x:v>-496968.75</x:v>
      </x:c>
      <x:c r="C22" s="20" t="n">
        <x:f>'Lease Economics'!C16</x:f>
        <x:v>-397575.00000000006</x:v>
      </x:c>
      <x:c r="D22" s="4"/>
    </x:row>
    <x:row r="23" ht="20" customHeight="1">
      <x:c r="A23" s="1" t="str">
        <x:v>Renewal concessions</x:v>
      </x:c>
      <x:c r="B23" s="20" t="n">
        <x:f>'Lease Economics'!B17</x:f>
        <x:v>-75925.78125</x:v>
      </x:c>
      <x:c r="C23" s="20" t="n">
        <x:f>'Lease Economics'!C17</x:f>
        <x:v>-60740.625</x:v>
      </x:c>
      <x:c r="D23" s="4"/>
    </x:row>
    <x:row r="24" ht="20" customHeight="1">
      <x:c r="A24" s="1" t="str">
        <x:v>Ancillary fee income</x:v>
      </x:c>
      <x:c r="B24" s="20" t="n">
        <x:f>'Lease Economics'!B19</x:f>
        <x:v>0</x:v>
      </x:c>
      <x:c r="C24" s="20" t="n">
        <x:f>'Lease Economics'!C19</x:f>
        <x:v>0</x:v>
      </x:c>
      <x:c r="D24" s="4"/>
    </x:row>
    <x:row r="25" ht="20" customHeight="1">
      <x:c r="A25" s="9" t="str">
        <x:v>Effective gross income</x:v>
      </x:c>
      <x:c r="B25" s="26" t="n">
        <x:f>SUM(B20:B24)</x:f>
        <x:v>6053355.46875</x:v>
      </x:c>
      <x:c r="C25" s="26" t="n">
        <x:f>SUM(C20:C24)</x:f>
        <x:v>5446200.375</x:v>
      </x:c>
      <x:c r="D25" s="12"/>
    </x:row>
    <x:row r="26" ht="20" customHeight="1">
      <x:c r="A26" s="1" t="str">
        <x:v>Recurring non-tax property operating costs</x:v>
      </x:c>
      <x:c r="B26" s="20" t="n">
        <x:f>'Lease Economics'!B22</x:f>
        <x:v>-960000</x:v>
      </x:c>
      <x:c r="C26" s="20" t="n">
        <x:f>'Lease Economics'!C22</x:f>
        <x:v>-960000</x:v>
      </x:c>
      <x:c r="D26" s="4"/>
    </x:row>
    <x:row r="27" ht="20" customHeight="1">
      <x:c r="A27" s="1" t="str">
        <x:v>Property management fee</x:v>
      </x:c>
      <x:c r="B27" s="20" t="n">
        <x:f>'Lease Economics'!B21</x:f>
        <x:v>-181600.6640625</x:v>
      </x:c>
      <x:c r="C27" s="20" t="n">
        <x:f>'Lease Economics'!C21</x:f>
        <x:v>-163386.01124999998</x:v>
      </x:c>
      <x:c r="D27" s="4"/>
    </x:row>
    <x:row r="28" ht="20" customHeight="1">
      <x:c r="A28" s="1" t="str">
        <x:v>Estimated property tax</x:v>
      </x:c>
      <x:c r="B28" s="20" t="n">
        <x:f>'Lease Economics'!B25</x:f>
        <x:v>-953363.3558661314</x:v>
      </x:c>
      <x:c r="C28" s="20" t="n">
        <x:f>'Lease Economics'!C25</x:f>
        <x:v>-839051.0056971824</x:v>
      </x:c>
      <x:c r="D28" s="4"/>
    </x:row>
    <x:row r="29" ht="20" customHeight="1">
      <x:c r="A29" s="9" t="str">
        <x:v>Net operating income (NOI)</x:v>
      </x:c>
      <x:c r="B29" s="26" t="n">
        <x:f>SUM(B25:B28)</x:f>
        <x:v>3958391.4488213686</x:v>
      </x:c>
      <x:c r="C29" s="26" t="n">
        <x:f>SUM(C25:C28)</x:f>
        <x:v>3483763.358052817</x:v>
      </x:c>
      <x:c r="D29" s="12" t="str">
        <x:v>Tax expense reconciles to loaded-cap valuation</x:v>
      </x:c>
    </x:row>
    <x:row r="30" ht="20" customHeight="1">
      <x:c r="A30" s="1" t="str">
        <x:v>Replacement reserve — below NOI</x:v>
      </x:c>
      <x:c r="B30" s="20" t="n">
        <x:f>'Lease Economics'!B28</x:f>
        <x:v>-45000</x:v>
      </x:c>
      <x:c r="C30" s="20" t="n">
        <x:f>'Lease Economics'!C28</x:f>
        <x:v>-45000</x:v>
      </x:c>
      <x:c r="D30" s="4"/>
    </x:row>
    <x:row r="31" ht="20" customHeight="1">
      <x:c r="A31" s="1" t="str">
        <x:v>Broker leasing fees — below NOI</x:v>
      </x:c>
      <x:c r="B31" s="20" t="n">
        <x:f>'Lease Economics'!B29</x:f>
        <x:v>-124242.1875</x:v>
      </x:c>
      <x:c r="C31" s="20" t="n">
        <x:f>'Lease Economics'!C29</x:f>
        <x:v>-99393.75000000001</x:v>
      </x:c>
      <x:c r="D31" s="4"/>
    </x:row>
    <x:row r="32" ht="20" customHeight="1">
      <x:c r="A32" s="9" t="str">
        <x:v>Cash after reserve and broker costs</x:v>
      </x:c>
      <x:c r="B32" s="26" t="n">
        <x:f>SUM(B29:B31)</x:f>
        <x:v>3789149.2613213686</x:v>
      </x:c>
      <x:c r="C32" s="26" t="n">
        <x:f>SUM(C29:C31)</x:f>
        <x:v>3339369.608052817</x:v>
      </x:c>
      <x:c r="D32" s="12"/>
    </x:row>
    <x:row r="33" ht="20" customHeight="1">
      <x:c r="A33" s="9" t="str">
        <x:v>INDICATIVE INVESTMENT FEASIBILITY</x:v>
      </x:c>
      <x:c r="B33" s="10"/>
      <x:c r="C33" s="10"/>
      <x:c r="D33" s="12"/>
    </x:row>
    <x:row r="34" ht="20" customHeight="1">
      <x:c r="A34" s="1" t="str">
        <x:v>Valuation cap rate</x:v>
      </x:c>
      <x:c r="B34" s="27" t="n">
        <x:f>Inputs!$B$29</x:f>
        <x:v>0.052</x:v>
      </x:c>
      <x:c r="C34" s="27" t="n">
        <x:f>Inputs!$B$29</x:f>
        <x:v>0.052</x:v>
      </x:c>
      <x:c r="D34" s="4"/>
    </x:row>
    <x:row r="35" ht="20" customHeight="1">
      <x:c r="A35" s="9" t="str">
        <x:v>Indicated stabilized value</x:v>
      </x:c>
      <x:c r="B35" s="26" t="n">
        <x:f>'Lease Economics'!B24</x:f>
        <x:v>76122912.47733402</x:v>
      </x:c>
      <x:c r="C35" s="26" t="n">
        <x:f>'Lease Economics'!C24</x:f>
        <x:v>66995449.19332341</x:v>
      </x:c>
      <x:c r="D35" s="12" t="str">
        <x:v>Illustrative model indication, not an appraisal or Hew value</x:v>
      </x:c>
    </x:row>
    <x:row r="36" ht="20" customHeight="1">
      <x:c r="A36" s="1" t="str">
        <x:v>Yield on development cost</x:v>
      </x:c>
      <x:c r="B36" s="27" t="n">
        <x:f>B29/B17</x:f>
        <x:v>0.04992777461786858</x:v>
      </x:c>
      <x:c r="C36" s="27" t="n">
        <x:f>C29/C17</x:f>
        <x:v>0.04394122057196757</x:v>
      </x:c>
      <x:c r="D36" s="4"/>
    </x:row>
    <x:row r="37" ht="20" customHeight="1">
      <x:c r="A37" s="1" t="str">
        <x:v>Development yield minus cap rate</x:v>
      </x:c>
      <x:c r="B37" s="27" t="n">
        <x:f>B36-B34</x:f>
        <x:v>-0.0020722253821314207</x:v>
      </x:c>
      <x:c r="C37" s="27" t="n">
        <x:f>C36-C34</x:f>
        <x:v>-0.008058779428032431</x:v>
      </x:c>
      <x:c r="D37" s="4"/>
    </x:row>
    <x:row r="38" ht="20" customHeight="1">
      <x:c r="A38" s="9" t="str">
        <x:v>Indicated value less development cost</x:v>
      </x:c>
      <x:c r="B38" s="26" t="n">
        <x:f>B35-B17</x:f>
        <x:v>-3159440.4638424516</x:v>
      </x:c>
      <x:c r="C38" s="26" t="n">
        <x:f>C35-C17</x:f>
        <x:v>-12286903.747853063</x:v>
      </x:c>
      <x:c r="D38" s="12"/>
    </x:row>
    <x:row r="39" ht="20" customHeight="1">
      <x:c r="A39" s="9" t="str">
        <x:v>Indicative feasibility funding gap</x:v>
      </x:c>
      <x:c r="B39" s="26" t="n">
        <x:f>MAX(0,-B38)</x:f>
        <x:v>3159440.4638424516</x:v>
      </x:c>
      <x:c r="C39" s="26" t="n">
        <x:f>MAX(0,-C38)</x:f>
        <x:v>12286903.747853063</x:v>
      </x:c>
      <x:c r="D39" s="12"/>
    </x:row>
    <x:row r="40" ht="20" customHeight="1">
      <x:c r="A40" s="1" t="str">
        <x:v>Funding gap / restricted home</x:v>
      </x:c>
      <x:c r="B40" s="20" t="n">
        <x:f>0</x:f>
        <x:v>0</x:v>
      </x:c>
      <x:c r="C40" s="20" t="n">
        <x:f>IF(C7&gt;0,C39/C7,"n.a.")</x:f>
        <x:v>472573.22107127163</x:v>
      </x:c>
      <x:c r="D40" s="4" t="str">
        <x:v>Not an IDP-approved subsidy amount</x:v>
      </x:c>
    </x:row>
    <x:row r="41" ht="20" customHeight="1">
      <x:c r="A41" s="1"/>
      <x:c r="B41" s="3"/>
      <x:c r="C41" s="3"/>
      <x:c r="D41" s="3"/>
    </x:row>
    <x:row r="42" ht="20" customHeight="1">
      <x:c r="A42" s="1"/>
      <x:c r="B42" s="3"/>
      <x:c r="C42" s="3"/>
      <x:c r="D42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19" hidden="0" customWidth="1"/>
    <x:col min="3" max="3" width="19" hidden="0" customWidth="1"/>
    <x:col min="4" max="4" width="70" hidden="0" customWidth="1"/>
  </x:cols>
  <x:sheetData>
    <x:row r="1" ht="20" customHeight="1">
      <x:c r="A1" s="2" t="str">
        <x:v>Sensitivity — Market-Rate Feasibility</x:v>
      </x:c>
      <x:c r="B1" s="2"/>
      <x:c r="C1" s="2"/>
      <x:c r="D1" s="2"/>
    </x:row>
    <x:row r="2" ht="20" customHeight="1">
      <x:c r="A2" s="1" t="str">
        <x:v>No hidden assumptions: each row adjusts market rent, recurring expenses, or new-lease concessions. All amounts illustrative.</x:v>
      </x:c>
      <x:c r="B2" s="1"/>
      <x:c r="C2" s="1"/>
      <x:c r="D2" s="1"/>
    </x:row>
    <x:row r="3" ht="20" customHeight="1">
      <x:c r="A3" s="1"/>
      <x:c r="B3" s="1"/>
      <x:c r="C3" s="1"/>
      <x:c r="D3" s="1"/>
    </x:row>
    <x:row r="4" ht="26" customHeight="1">
      <x:c r="A4" s="6" t="str">
        <x:v>Market rent change</x:v>
      </x:c>
      <x:c r="B4" s="6" t="str">
        <x:v>NOI</x:v>
      </x:c>
      <x:c r="C4" s="6" t="str">
        <x:v>Indicated value</x:v>
      </x:c>
      <x:c r="D4" s="6" t="str">
        <x:v>Funding gap</x:v>
      </x:c>
    </x:row>
    <x:row r="5" ht="20" customHeight="1">
      <x:c r="A5" s="31" t="n">
        <x:v>-0.1</x:v>
      </x:c>
      <x:c r="B5" s="20" t="n">
        <x:f>C5*Inputs!$B$29</x:f>
        <x:v>3485185.742659708</x:v>
      </x:c>
      <x:c r="C5" s="20" t="n">
        <x:f>((('Lease Economics'!$B$20+'Lease Economics'!$B$33*$A5)*(1-Inputs!$B$28)-Inputs!$B$6*Inputs!$B$45)/(Inputs!$B$29+Inputs!$B$33))</x:f>
        <x:v>67022802.743455924</x:v>
      </x:c>
      <x:c r="D5" s="20" t="n">
        <x:f>MAX(0,'Pro Forma'!$B$17-C5)</x:f>
        <x:v>12259550.19772055</x:v>
      </x:c>
    </x:row>
    <x:row r="6" ht="20" customHeight="1">
      <x:c r="A6" s="31" t="n">
        <x:v>-0.05</x:v>
      </x:c>
      <x:c r="B6" s="20" t="n">
        <x:f>C6*Inputs!$B$29</x:f>
        <x:v>3721788.595740538</x:v>
      </x:c>
      <x:c r="C6" s="20" t="n">
        <x:f>((('Lease Economics'!$B$20+'Lease Economics'!$B$33*$A6)*(1-Inputs!$B$28)-Inputs!$B$6*Inputs!$B$45)/(Inputs!$B$29+Inputs!$B$33))</x:f>
        <x:v>71572857.61039497</x:v>
      </x:c>
      <x:c r="D6" s="20" t="n">
        <x:f>MAX(0,'Pro Forma'!$B$17-C6)</x:f>
        <x:v>7709495.3307815045</x:v>
      </x:c>
    </x:row>
    <x:row r="7" ht="20" customHeight="1">
      <x:c r="A7" s="32" t="n">
        <x:v>0</x:v>
      </x:c>
      <x:c r="B7" s="26" t="n">
        <x:f>C7*Inputs!$B$29</x:f>
        <x:v>3958391.448821369</x:v>
      </x:c>
      <x:c r="C7" s="26" t="n">
        <x:f>((('Lease Economics'!$B$20+'Lease Economics'!$B$33*$A7)*(1-Inputs!$B$28)-Inputs!$B$6*Inputs!$B$45)/(Inputs!$B$29+Inputs!$B$33))</x:f>
        <x:v>76122912.47733402</x:v>
      </x:c>
      <x:c r="D7" s="26" t="n">
        <x:f>MAX(0,'Pro Forma'!$B$17-C7)</x:f>
        <x:v>3159440.4638424516</x:v>
      </x:c>
    </x:row>
    <x:row r="8" ht="20" customHeight="1">
      <x:c r="A8" s="31" t="n">
        <x:v>0.05</x:v>
      </x:c>
      <x:c r="B8" s="20" t="n">
        <x:f>C8*Inputs!$B$29</x:f>
        <x:v>4194994.301902199</x:v>
      </x:c>
      <x:c r="C8" s="20" t="n">
        <x:f>((('Lease Economics'!$B$20+'Lease Economics'!$B$33*$A8)*(1-Inputs!$B$28)-Inputs!$B$6*Inputs!$B$45)/(Inputs!$B$29+Inputs!$B$33))</x:f>
        <x:v>80672967.34427306</x:v>
      </x:c>
      <x:c r="D8" s="20" t="n">
        <x:f>MAX(0,'Pro Forma'!$B$17-C8)</x:f>
        <x:v>0</x:v>
      </x:c>
    </x:row>
    <x:row r="9" ht="20" customHeight="1">
      <x:c r="A9" s="31" t="n">
        <x:v>0.1</x:v>
      </x:c>
      <x:c r="B9" s="20" t="n">
        <x:f>C9*Inputs!$B$29</x:f>
        <x:v>4431597.15498303</x:v>
      </x:c>
      <x:c r="C9" s="20" t="n">
        <x:f>((('Lease Economics'!$B$20+'Lease Economics'!$B$33*$A9)*(1-Inputs!$B$28)-Inputs!$B$6*Inputs!$B$45)/(Inputs!$B$29+Inputs!$B$33))</x:f>
        <x:v>85223022.21121211</x:v>
      </x:c>
      <x:c r="D9" s="20" t="n">
        <x:f>MAX(0,'Pro Forma'!$B$17-C9)</x:f>
        <x:v>0</x:v>
      </x:c>
    </x:row>
    <x:row r="10" ht="20" customHeight="1">
      <x:c r="A10" s="1"/>
      <x:c r="B10" s="20"/>
      <x:c r="C10" s="20"/>
      <x:c r="D10" s="20"/>
    </x:row>
    <x:row r="11" ht="20" customHeight="1">
      <x:c r="A11" s="1"/>
      <x:c r="B11" s="20"/>
      <x:c r="C11" s="20"/>
      <x:c r="D11" s="20"/>
    </x:row>
    <x:row r="12" ht="26" customHeight="1">
      <x:c r="A12" s="6" t="str">
        <x:v>Recurring operating cost change / home</x:v>
      </x:c>
      <x:c r="B12" s="33" t="str">
        <x:v>NOI</x:v>
      </x:c>
      <x:c r="C12" s="33" t="str">
        <x:v>Indicated value</x:v>
      </x:c>
      <x:c r="D12" s="33" t="str">
        <x:v>Funding gap</x:v>
      </x:c>
    </x:row>
    <x:row r="13" ht="20" customHeight="1">
      <x:c r="A13" s="20" t="n">
        <x:v>-1000</x:v>
      </x:c>
      <x:c r="B13" s="20" t="n">
        <x:f>C13*Inputs!$B$29</x:f>
        <x:v>4079276.700820625</x:v>
      </x:c>
      <x:c r="C13" s="20" t="n">
        <x:f>('Lease Economics'!$B$23-Inputs!$B$6*A13)/(Inputs!$B$29+Inputs!$B$33)</x:f>
        <x:v>78447628.8619351</x:v>
      </x:c>
      <x:c r="D13" s="20" t="n">
        <x:f>MAX(0,'Pro Forma'!$B$17-C13)</x:f>
        <x:v>834724.0792413801</x:v>
      </x:c>
    </x:row>
    <x:row r="14" ht="20" customHeight="1">
      <x:c r="A14" s="20" t="n">
        <x:v>-500</x:v>
      </x:c>
      <x:c r="B14" s="20" t="n">
        <x:f>C14*Inputs!$B$29</x:f>
        <x:v>4018834.0748209963</x:v>
      </x:c>
      <x:c r="C14" s="20" t="n">
        <x:f>('Lease Economics'!$B$23-Inputs!$B$6*A14)/(Inputs!$B$29+Inputs!$B$33)</x:f>
        <x:v>77285270.66963455</x:v>
      </x:c>
      <x:c r="D14" s="20" t="n">
        <x:f>MAX(0,'Pro Forma'!$B$17-C14)</x:f>
        <x:v>1997082.2715419233</x:v>
      </x:c>
    </x:row>
    <x:row r="15" ht="20" customHeight="1">
      <x:c r="A15" s="26" t="n">
        <x:v>0</x:v>
      </x:c>
      <x:c r="B15" s="26" t="n">
        <x:f>C15*Inputs!$B$29</x:f>
        <x:v>3958391.448821369</x:v>
      </x:c>
      <x:c r="C15" s="26" t="n">
        <x:f>('Lease Economics'!$B$23-Inputs!$B$6*A15)/(Inputs!$B$29+Inputs!$B$33)</x:f>
        <x:v>76122912.47733402</x:v>
      </x:c>
      <x:c r="D15" s="26" t="n">
        <x:f>MAX(0,'Pro Forma'!$B$17-C15)</x:f>
        <x:v>3159440.4638424516</x:v>
      </x:c>
    </x:row>
    <x:row r="16" ht="20" customHeight="1">
      <x:c r="A16" s="20" t="n">
        <x:v>500</x:v>
      </x:c>
      <x:c r="B16" s="20" t="n">
        <x:f>C16*Inputs!$B$29</x:f>
        <x:v>3897948.8228217405</x:v>
      </x:c>
      <x:c r="C16" s="20" t="n">
        <x:f>('Lease Economics'!$B$23-Inputs!$B$6*A16)/(Inputs!$B$29+Inputs!$B$33)</x:f>
        <x:v>74960554.28503348</x:v>
      </x:c>
      <x:c r="D16" s="20" t="n">
        <x:f>MAX(0,'Pro Forma'!$B$17-C16)</x:f>
        <x:v>4321798.656142995</x:v>
      </x:c>
    </x:row>
    <x:row r="17" ht="20" customHeight="1">
      <x:c r="A17" s="20" t="n">
        <x:v>1000</x:v>
      </x:c>
      <x:c r="B17" s="20" t="n">
        <x:f>C17*Inputs!$B$29</x:f>
        <x:v>3837506.1968221124</x:v>
      </x:c>
      <x:c r="C17" s="20" t="n">
        <x:f>('Lease Economics'!$B$23-Inputs!$B$6*A17)/(Inputs!$B$29+Inputs!$B$33)</x:f>
        <x:v>73798196.09273294</x:v>
      </x:c>
      <x:c r="D17" s="20" t="n">
        <x:f>MAX(0,'Pro Forma'!$B$17-C17)</x:f>
        <x:v>5484156.848443538</x:v>
      </x:c>
    </x:row>
    <x:row r="18" ht="20" customHeight="1">
      <x:c r="A18" s="1"/>
      <x:c r="B18" s="20"/>
      <x:c r="C18" s="20"/>
      <x:c r="D18" s="20"/>
    </x:row>
    <x:row r="19" ht="20" customHeight="1">
      <x:c r="A19" s="1"/>
      <x:c r="B19" s="20"/>
      <x:c r="C19" s="20"/>
      <x:c r="D19" s="20"/>
    </x:row>
    <x:row r="20" ht="26" customHeight="1">
      <x:c r="A20" s="6" t="str">
        <x:v>New-lease free months</x:v>
      </x:c>
      <x:c r="B20" s="33" t="str">
        <x:v>NOI</x:v>
      </x:c>
      <x:c r="C20" s="33" t="str">
        <x:v>Indicated value</x:v>
      </x:c>
      <x:c r="D20" s="33" t="str">
        <x:v>Funding gap</x:v>
      </x:c>
    </x:row>
    <x:row r="21" ht="20" customHeight="1">
      <x:c r="A21" s="1" t="n">
        <x:v>0</x:v>
      </x:c>
      <x:c r="B21" s="20" t="n">
        <x:f>C21*Inputs!$B$29</x:f>
        <x:v>4346884.160835504</x:v>
      </x:c>
      <x:c r="C21" s="20" t="n">
        <x:f>((('Lease Economics'!$B$20-'Lease Economics'!$B$14*Inputs!$B$14*(A21-Inputs!$B$22))*(1-Inputs!$B$28)-Inputs!$B$6*Inputs!$B$45)/(Inputs!$B$29+Inputs!$B$33))</x:f>
        <x:v>83593926.16991353</x:v>
      </x:c>
      <x:c r="D21" s="20" t="n">
        <x:f>MAX(0,'Pro Forma'!$B$17-C21)</x:f>
        <x:v>0</x:v>
      </x:c>
    </x:row>
    <x:row r="22" ht="20" customHeight="1">
      <x:c r="A22" s="1" t="n">
        <x:v>1</x:v>
      </x:c>
      <x:c r="B22" s="20" t="n">
        <x:f>C22*Inputs!$B$29</x:f>
        <x:v>4152637.804828436</x:v>
      </x:c>
      <x:c r="C22" s="20" t="n">
        <x:f>((('Lease Economics'!$B$20-'Lease Economics'!$B$14*Inputs!$B$14*(A22-Inputs!$B$22))*(1-Inputs!$B$28)-Inputs!$B$6*Inputs!$B$45)/(Inputs!$B$29+Inputs!$B$33))</x:f>
        <x:v>79858419.32362378</x:v>
      </x:c>
      <x:c r="D22" s="20" t="n">
        <x:f>MAX(0,'Pro Forma'!$B$17-C22)</x:f>
        <x:v>0</x:v>
      </x:c>
    </x:row>
    <x:row r="23" ht="20" customHeight="1">
      <x:c r="A23" s="9" t="n">
        <x:v>2</x:v>
      </x:c>
      <x:c r="B23" s="26" t="n">
        <x:f>C23*Inputs!$B$29</x:f>
        <x:v>3958391.448821369</x:v>
      </x:c>
      <x:c r="C23" s="26" t="n">
        <x:f>((('Lease Economics'!$B$20-'Lease Economics'!$B$14*Inputs!$B$14*(A23-Inputs!$B$22))*(1-Inputs!$B$28)-Inputs!$B$6*Inputs!$B$45)/(Inputs!$B$29+Inputs!$B$33))</x:f>
        <x:v>76122912.47733402</x:v>
      </x:c>
      <x:c r="D23" s="26" t="n">
        <x:f>MAX(0,'Pro Forma'!$B$17-C23)</x:f>
        <x:v>3159440.4638424516</x:v>
      </x:c>
    </x:row>
    <x:row r="24" ht="20" customHeight="1">
      <x:c r="A24" s="1" t="n">
        <x:v>2.5</x:v>
      </x:c>
      <x:c r="B24" s="20" t="n">
        <x:f>C24*Inputs!$B$29</x:f>
        <x:v>3861268.2708178353</x:v>
      </x:c>
      <x:c r="C24" s="20" t="n">
        <x:f>((('Lease Economics'!$B$20-'Lease Economics'!$B$14*Inputs!$B$14*(A24-Inputs!$B$22))*(1-Inputs!$B$28)-Inputs!$B$6*Inputs!$B$45)/(Inputs!$B$29+Inputs!$B$33))</x:f>
        <x:v>74255159.05418915</x:v>
      </x:c>
      <x:c r="D24" s="20" t="n">
        <x:f>MAX(0,'Pro Forma'!$B$17-C24)</x:f>
        <x:v>5027193.8869873285</x:v>
      </x:c>
    </x:row>
    <x:row r="25" ht="20" customHeight="1">
      <x:c r="A25" s="1" t="n">
        <x:v>3</x:v>
      </x:c>
      <x:c r="B25" s="20" t="n">
        <x:f>C25*Inputs!$B$29</x:f>
        <x:v>3764145.0928143016</x:v>
      </x:c>
      <x:c r="C25" s="20" t="n">
        <x:f>((('Lease Economics'!$B$20-'Lease Economics'!$B$14*Inputs!$B$14*(A25-Inputs!$B$22))*(1-Inputs!$B$28)-Inputs!$B$6*Inputs!$B$45)/(Inputs!$B$29+Inputs!$B$33))</x:f>
        <x:v>72387405.63104427</x:v>
      </x:c>
      <x:c r="D25" s="20" t="n">
        <x:f>MAX(0,'Pro Forma'!$B$17-C25)</x:f>
        <x:v>6894947.3101322055</x:v>
      </x:c>
    </x:row>
    <x:row r="26" ht="20" customHeight="1">
      <x:c r="A26" s="1"/>
      <x:c r="B26" s="3"/>
      <x:c r="C26" s="3"/>
      <x:c r="D26" s="3"/>
    </x:row>
    <x:row r="27" ht="20" customHeight="1">
      <x:c r="A27" s="1"/>
      <x:c r="B27" s="3"/>
      <x:c r="C27" s="3"/>
      <x:c r="D27" s="3"/>
    </x:row>
    <x:row r="28" ht="20" customHeight="1">
      <x:c r="A28" s="1" t="str">
        <x:v>At zero rent and zero operating cost changes, value and NOI must match Pro Forma.</x:v>
      </x:c>
      <x:c r="B28" s="3"/>
      <x:c r="C28" s="3"/>
      <x:c r="D28" s="3"/>
    </x:row>
    <x:row r="29" ht="20" customHeight="1">
      <x:c r="A29" s="1" t="str">
        <x:v>Broker fees and replacement reserves remain below NOI; their impact is in annual cash flow.</x:v>
      </x:c>
      <x:c r="B29" s="3"/>
      <x:c r="C29" s="3"/>
      <x:c r="D29" s="3"/>
    </x:row>
    <x:row r="30" ht="20" customHeight="1">
      <x:c r="A30" s="1"/>
      <x:c r="B30" s="3"/>
      <x:c r="C30" s="3"/>
      <x:c r="D30" s="3"/>
    </x:row>
    <x:row r="31" ht="20" customHeight="1">
      <x:c r="A31" s="1"/>
      <x:c r="B31" s="3"/>
      <x:c r="C31" s="3"/>
      <x:c r="D31" s="3"/>
    </x:row>
    <x:row r="32" ht="26" customHeight="1">
      <x:c r="A32" s="6" t="str">
        <x:v>Broker-sourced new-lease share</x:v>
      </x:c>
      <x:c r="B32" s="29" t="str">
        <x:v>Modeled NOI</x:v>
      </x:c>
      <x:c r="C32" s="29" t="str">
        <x:v>Cash after reserve + broker</x:v>
      </x:c>
      <x:c r="D32" s="29" t="str">
        <x:v>Interpretation</x:v>
      </x:c>
    </x:row>
    <x:row r="33" ht="20" customHeight="1">
      <x:c r="A33" s="27" t="n">
        <x:v>0</x:v>
      </x:c>
      <x:c r="B33" s="20" t="n">
        <x:f>'Pro Forma'!$B$29</x:f>
        <x:v>3958391.4488213686</x:v>
      </x:c>
      <x:c r="C33" s="20" t="n">
        <x:f>B33-Inputs!$B$6*Inputs!$B$43-'Lease Economics'!$B$14*Inputs!$B$14*Inputs!$B$26*A33</x:f>
        <x:v>3913391.4488213686</x:v>
      </x:c>
      <x:c r="D33" s="3" t="str">
        <x:v>Scenario assumption; the complete new-lease channel mix is unavailable.</x:v>
      </x:c>
    </x:row>
    <x:row r="34" ht="20" customHeight="1">
      <x:c r="A34" s="27" t="n">
        <x:v>0.25</x:v>
      </x:c>
      <x:c r="B34" s="20" t="n">
        <x:f>'Pro Forma'!$B$29</x:f>
        <x:v>3958391.4488213686</x:v>
      </x:c>
      <x:c r="C34" s="20" t="n">
        <x:f>B34-Inputs!$B$6*Inputs!$B$43-'Lease Economics'!$B$14*Inputs!$B$14*Inputs!$B$26*A34</x:f>
        <x:v>3851270.3550713686</x:v>
      </x:c>
      <x:c r="D34" s="3" t="str">
        <x:v>Scenario assumption; the complete new-lease channel mix is unavailable.</x:v>
      </x:c>
    </x:row>
    <x:row r="35" ht="20" customHeight="1">
      <x:c r="A35" s="30" t="n">
        <x:v>0.5</x:v>
      </x:c>
      <x:c r="B35" s="26" t="n">
        <x:f>'Pro Forma'!$B$29</x:f>
        <x:v>3958391.4488213686</x:v>
      </x:c>
      <x:c r="C35" s="26" t="n">
        <x:f>B35-Inputs!$B$6*Inputs!$B$43-'Lease Economics'!$B$14*Inputs!$B$14*Inputs!$B$26*A35</x:f>
        <x:v>3789149.2613213686</x:v>
      </x:c>
      <x:c r="D35" s="10" t="str">
        <x:v>Scenario assumption; the complete new-lease channel mix is unavailable.</x:v>
      </x:c>
    </x:row>
    <x:row r="36" ht="20" customHeight="1">
      <x:c r="A36" s="27" t="n">
        <x:v>0.75</x:v>
      </x:c>
      <x:c r="B36" s="20" t="n">
        <x:f>'Pro Forma'!$B$29</x:f>
        <x:v>3958391.4488213686</x:v>
      </x:c>
      <x:c r="C36" s="20" t="n">
        <x:f>B36-Inputs!$B$6*Inputs!$B$43-'Lease Economics'!$B$14*Inputs!$B$14*Inputs!$B$26*A36</x:f>
        <x:v>3727028.1675713686</x:v>
      </x:c>
      <x:c r="D36" s="3" t="str">
        <x:v>Scenario assumption; the complete new-lease channel mix is unavailable.</x:v>
      </x:c>
    </x:row>
    <x:row r="37" ht="20" customHeight="1">
      <x:c r="A37" s="27" t="n">
        <x:v>1</x:v>
      </x:c>
      <x:c r="B37" s="20" t="n">
        <x:f>'Pro Forma'!$B$29</x:f>
        <x:v>3958391.4488213686</x:v>
      </x:c>
      <x:c r="C37" s="20" t="n">
        <x:f>B37-Inputs!$B$6*Inputs!$B$43-'Lease Economics'!$B$14*Inputs!$B$14*Inputs!$B$26*A37</x:f>
        <x:v>3664907.0738213686</x:v>
      </x:c>
      <x:c r="D37" s="3" t="str">
        <x:v>Scenario assumption; the complete new-lease channel mix is unavailable.</x:v>
      </x:c>
    </x:row>
    <x:row r="38" ht="20" customHeight="1">
      <x:c r="A38" s="1"/>
      <x:c r="B38" s="3"/>
      <x:c r="C38" s="3"/>
      <x:c r="D38" s="3"/>
    </x:row>
    <x:row r="39" ht="20" customHeight="1">
      <x:c r="A39" s="1"/>
      <x:c r="B39" s="3"/>
      <x:c r="C39" s="3"/>
      <x:c r="D39" s="3"/>
    </x:row>
    <x:row r="40" ht="20" customHeight="1">
      <x:c r="A40" s="1" t="str">
        <x:v>Internet owner-billing is controlled by Inputs B49; default 0 excludes unverified internet income AND cost.</x:v>
      </x:c>
      <x:c r="B40" s="3"/>
      <x:c r="C40" s="3"/>
      <x:c r="D40" s="3"/>
    </x:row>
    <x:row r="41" ht="20" customHeight="1">
      <x:c r="A41" s="1"/>
      <x:c r="B41" s="3"/>
      <x:c r="C41" s="3"/>
      <x:c r="D41" s="3"/>
    </x:row>
    <x:row r="42" ht="20" customHeight="1">
      <x:c r="A42" s="1"/>
      <x:c r="B42" s="3"/>
      <x:c r="C42" s="3"/>
      <x:c r="D42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8" hidden="0" customWidth="1"/>
  </x:cols>
  <x:sheetData>
    <x:row r="1">
      <x:c r="A1" s="2" t="str">
        <x:v>Market Evidence — Historical Asking-Rent Snapshots</x:v>
      </x:c>
      <x:c r="B1" s="2"/>
      <x:c r="C1" s="2"/>
      <x:c r="D1" s="2"/>
      <x:c r="E1" s="2"/>
      <x:c r="F1" s="2"/>
      <x:c r="G1" s="2"/>
      <x:c r="H1" s="2"/>
    </x:row>
    <x:row r="2">
      <x:c r="A2" s="1" t="str">
        <x:v>User-provided examples around October 2026; promotional offers can change weekly. These do not prove actual executed leases.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6" t="str">
        <x:v>Property / plan</x:v>
      </x:c>
      <x:c r="B4" s="6" t="str">
        <x:v>Sq ft</x:v>
      </x:c>
      <x:c r="C4" s="6" t="str">
        <x:v>Base monthly rent</x:v>
      </x:c>
      <x:c r="D4" s="6" t="str">
        <x:v>Free months</x:v>
      </x:c>
      <x:c r="E4" s="6" t="str">
        <x:v>Broker months</x:v>
      </x:c>
      <x:c r="F4" s="6" t="str">
        <x:v>Tenant effective / month</x:v>
      </x:c>
      <x:c r="G4" s="6" t="str">
        <x:v>Owner new-lease cash / month</x:v>
      </x:c>
      <x:c r="H4" s="6" t="str">
        <x:v>Origin</x:v>
      </x:c>
    </x:row>
    <x:row r="5">
      <x:c r="A5" s="1" t="str">
        <x:v>Hew 1B5</x:v>
      </x:c>
      <x:c r="B5" s="1" t="n">
        <x:v>677</x:v>
      </x:c>
      <x:c r="C5" s="20" t="n">
        <x:v>4076</x:v>
      </x:c>
      <x:c r="D5" s="1" t="n">
        <x:v>2</x:v>
      </x:c>
      <x:c r="E5" s="1" t="n">
        <x:v>1</x:v>
      </x:c>
      <x:c r="F5" s="20" t="n">
        <x:f>C5*(12-D5)/12</x:f>
        <x:v>3396.6666666666665</x:v>
      </x:c>
      <x:c r="G5" s="20" t="n">
        <x:f>C5*(12-D5-E5)/12</x:f>
        <x:v>3057</x:v>
      </x:c>
      <x:c r="H5" s="1" t="str">
        <x:v>User observations; $70 internet fee excluded</x:v>
      </x:c>
    </x:row>
    <x:row r="6">
      <x:c r="A6" s="1" t="str">
        <x:v>Harper A3</x:v>
      </x:c>
      <x:c r="B6" s="1" t="n">
        <x:v>651</x:v>
      </x:c>
      <x:c r="C6" s="20" t="n">
        <x:v>3457</x:v>
      </x:c>
      <x:c r="D6" s="1" t="n">
        <x:v>2.5</x:v>
      </x:c>
      <x:c r="E6" s="1" t="n">
        <x:v>1</x:v>
      </x:c>
      <x:c r="F6" s="20" t="n">
        <x:f>C6*(12-D6)/12</x:f>
        <x:v>2736.7916666666665</x:v>
      </x:c>
      <x:c r="G6" s="20" t="n">
        <x:f>C6*(12-D6-E6)/12</x:f>
        <x:v>2448.7083333333335</x:v>
      </x:c>
      <x:c r="H6" s="1" t="str">
        <x:v>User observations; brokerage expense unverified</x:v>
      </x:c>
    </x:row>
    <x:row r="7">
      <x:c r="A7" s="1" t="str">
        <x:v>Alder A4</x:v>
      </x:c>
      <x:c r="B7" s="1" t="n">
        <x:v>661</x:v>
      </x:c>
      <x:c r="C7" s="20" t="n">
        <x:v>3675</x:v>
      </x:c>
      <x:c r="D7" s="1" t="n">
        <x:v>1</x:v>
      </x:c>
      <x:c r="E7" s="1" t="n">
        <x:v>0</x:v>
      </x:c>
      <x:c r="F7" s="20" t="n">
        <x:f>C7*(12-D7)/12</x:f>
        <x:v>3368.75</x:v>
      </x:c>
      <x:c r="G7" s="20" t="n">
        <x:f>C7*(12-D7-E7)/12</x:f>
        <x:v>3368.75</x:v>
      </x:c>
      <x:c r="H7" s="1" t="str">
        <x:v>User observations; 0 broker cost unverified</x:v>
      </x:c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Hew weekly public-listing evidence</x:v>
      </x:c>
      <x:c r="B10" s="1" t="str">
        <x:v>Earlier sample: 8 listed</x:v>
      </x:c>
      <x:c r="C10" s="1" t="str">
        <x:v>Later sample: 7 listed</x:v>
      </x:c>
      <x:c r="D10" s="1"/>
      <x:c r="E10" s="1"/>
      <x:c r="F10" s="1"/>
      <x:c r="G10" s="1"/>
      <x:c r="H10" s="1"/>
    </x:row>
    <x:row r="11">
      <x:c r="A11" s="1" t="str">
        <x:v>Interpretation</x:v>
      </x:c>
      <x:c r="B11" s="1" t="str">
        <x:v>Listing count is NOT vacancy rate, occupied units, or signed-lease absorption.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 t="str">
        <x:v>Hew 2 free months: observed near Oct 2026. Reported peak: 2.5 months.</x:v>
      </x:c>
      <x:c r="B13" s="1"/>
      <x:c r="C13" s="1"/>
      <x:c r="D13" s="1"/>
      <x:c r="E13" s="1"/>
      <x:c r="F13" s="1"/>
      <x:c r="G13" s="1"/>
      <x:c r="H13" s="1"/>
    </x:row>
    <x:row r="14">
      <x:c r="A14" s="1" t="str">
        <x:v>Hew 1-month renewal discount: leasing staff report from May 2026, not a standing rule.</x:v>
      </x:c>
      <x:c r="B14" s="1"/>
      <x:c r="C14" s="1"/>
      <x:c r="D14" s="1"/>
      <x:c r="E14" s="1"/>
      <x:c r="F14" s="1"/>
      <x:c r="G14" s="1"/>
      <x:c r="H14" s="1"/>
    </x:row>
    <x:row r="15">
      <x:c r="A15" s="1" t="str">
        <x:v>Hew 1-month commission: only broker-sourced NEW leases per user statement.</x:v>
      </x:c>
      <x:c r="B15" s="1"/>
      <x:c r="C15" s="1"/>
      <x:c r="D15" s="1"/>
      <x:c r="E15" s="1"/>
      <x:c r="F15" s="1"/>
      <x:c r="G15" s="1"/>
      <x:c r="H15" s="1"/>
    </x:row>
    <x:row r="16">
      <x:c r="A16" s="1" t="str">
        <x:v>Harper and Alder financial details are comparison hypotheses, not independently certified.</x:v>
      </x:c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27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 t="str">
        <x:v>NO PUBLICLY VERIFIED BUILDING-WIDE TURNOVER OR BROKER-SOURCED SHARE.</x:v>
      </x:c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7" hidden="0" customWidth="1"/>
    <x:col min="3" max="3" width="27" hidden="0" customWidth="1"/>
    <x:col min="4" max="4" width="65" hidden="0" customWidth="1"/>
    <x:col min="5" max="5" width="74" hidden="0" customWidth="1"/>
  </x:cols>
  <x:sheetData>
    <x:row r="1" ht="20" customHeight="1">
      <x:c r="A1" s="2" t="str">
        <x:v>Hew at 1515 — Official Boston Parcel Tax Evidence</x:v>
      </x:c>
      <x:c r="B1" s="2"/>
      <x:c r="C1" s="2"/>
      <x:c r="D1" s="2"/>
      <x:c r="E1" s="2"/>
    </x:row>
    <x:row r="2" ht="20" customHeight="1">
      <x:c r="A2" s="1" t="str">
        <x:v>Tax parcel at 1515 Commonwealth Ave; marketing/leasing address 1525 Commonwealth Ave. Reconciled against 150-unit Hew LoopNet listing.</x:v>
      </x:c>
      <x:c r="B2" s="1"/>
      <x:c r="C2" s="1"/>
      <x:c r="D2" s="1"/>
      <x:c r="E2" s="1"/>
    </x:row>
    <x:row r="3" ht="20" customHeight="1">
      <x:c r="A3" s="1"/>
      <x:c r="B3" s="1"/>
      <x:c r="C3" s="1"/>
      <x:c r="D3" s="1"/>
      <x:c r="E3" s="1"/>
    </x:row>
    <x:row r="4" ht="26" customHeight="1">
      <x:c r="A4" s="6" t="str">
        <x:v>Official recorded field</x:v>
      </x:c>
      <x:c r="B4" s="6" t="str">
        <x:v>FY2025</x:v>
      </x:c>
      <x:c r="C4" s="6" t="str">
        <x:v>FY2026</x:v>
      </x:c>
      <x:c r="D4" s="6" t="str">
        <x:v>Interpretation</x:v>
      </x:c>
      <x:c r="E4" s="6" t="str">
        <x:v>Source</x:v>
      </x:c>
    </x:row>
    <x:row r="5" ht="20" customHeight="1">
      <x:c r="A5" s="1" t="str">
        <x:v>Boston parcel ID</x:v>
      </x:c>
      <x:c r="B5" s="35" t="str">
        <x:v>2101831000</x:v>
      </x:c>
      <x:c r="C5" s="35" t="str">
        <x:v>2101831000</x:v>
      </x:c>
      <x:c r="D5" s="4" t="str">
        <x:v>Same parcel in City GIS as broker listing BRIG-...-21-01831</x:v>
      </x:c>
      <x:c r="E5" s="1" t="str">
        <x:v>Boston Assessing parcel and tax tables</x:v>
      </x:c>
    </x:row>
    <x:row r="6" ht="20" customHeight="1">
      <x:c r="A6" s="1" t="str">
        <x:v>Record address</x:v>
      </x:c>
      <x:c r="B6" s="3" t="str">
        <x:v>1515 COMMONWEALTH AV</x:v>
      </x:c>
      <x:c r="C6" s="3" t="str">
        <x:v>1515 COMMONWEALTH AV</x:v>
      </x:c>
      <x:c r="D6" s="4" t="str">
        <x:v>The rental building is marketed at 1525 Commonwealth Ave</x:v>
      </x:c>
      <x:c r="E6" s="1" t="str">
        <x:v>City FY26 property assessment parcel join</x:v>
      </x:c>
    </x:row>
    <x:row r="7" ht="20" customHeight="1">
      <x:c r="A7" s="1" t="str">
        <x:v>Property classification</x:v>
      </x:c>
      <x:c r="B7" s="3" t="str">
        <x:v>LUXURY APARTMENT</x:v>
      </x:c>
      <x:c r="C7" s="3" t="str">
        <x:v>LUXURY APARTMENT</x:v>
      </x:c>
      <x:c r="D7" s="4" t="str">
        <x:v>Tax roll classification; condo tower must not be added</x:v>
      </x:c>
      <x:c r="E7" s="1" t="str">
        <x:v>City FY26 property assessment parcel join</x:v>
      </x:c>
    </x:row>
    <x:row r="8" ht="20" customHeight="1">
      <x:c r="A8" s="1"/>
      <x:c r="B8" s="3"/>
      <x:c r="C8" s="3"/>
      <x:c r="D8" s="4"/>
      <x:c r="E8" s="1"/>
    </x:row>
    <x:row r="9" ht="20" customHeight="1">
      <x:c r="A9" s="1" t="str">
        <x:v>Land assessed value</x:v>
      </x:c>
      <x:c r="B9" s="20" t="n">
        <x:v>27588700</x:v>
      </x:c>
      <x:c r="C9" s="20" t="n">
        <x:v>27588700</x:v>
      </x:c>
      <x:c r="D9" s="4" t="str">
        <x:v>Property assessor estimate; not original land purchase cost</x:v>
      </x:c>
      <x:c r="E9" s="1" t="str">
        <x:v>City FY26 parcel; 2025 listing corroboration</x:v>
      </x:c>
    </x:row>
    <x:row r="10" ht="20" customHeight="1">
      <x:c r="A10" s="1" t="str">
        <x:v>Building assessed value</x:v>
      </x:c>
      <x:c r="B10" s="20" t="n">
        <x:v>41844000</x:v>
      </x:c>
      <x:c r="C10" s="20" t="n">
        <x:v>57685600</x:v>
      </x:c>
      <x:c r="D10" s="4" t="str">
        <x:v>FY2025 value matched in LoopNet listing</x:v>
      </x:c>
      <x:c r="E10" s="1" t="str">
        <x:v>City FY26 parcel and 2025 broker listing</x:v>
      </x:c>
    </x:row>
    <x:row r="11" ht="20" customHeight="1">
      <x:c r="A11" s="7" t="str">
        <x:v>Total assessed value</x:v>
      </x:c>
      <x:c r="B11" s="25" t="n">
        <x:v>69432700</x:v>
      </x:c>
      <x:c r="C11" s="25" t="n">
        <x:v>85274300</x:v>
      </x:c>
      <x:c r="D11" s="11" t="str">
        <x:v>Tax assessment; NOT a private-market sale price</x:v>
      </x:c>
      <x:c r="E11" s="7" t="str">
        <x:v>City taxes table</x:v>
      </x:c>
    </x:row>
    <x:row r="12" ht="20" customHeight="1">
      <x:c r="A12" s="1" t="str">
        <x:v>Base gross real estate tax</x:v>
      </x:c>
      <x:c r="B12" s="20" t="n">
        <x:v>804030.67</x:v>
      </x:c>
      <x:c r="C12" s="20" t="n">
        <x:v>1057401.32</x:v>
      </x:c>
      <x:c r="D12" s="4" t="str">
        <x:v>FY2026 = $85,274,300 × $12.40 per $1,000</x:v>
      </x:c>
      <x:c r="E12" s="1" t="str">
        <x:v>City taxes table + FY26 tax rate</x:v>
      </x:c>
    </x:row>
    <x:row r="13" ht="20" customHeight="1">
      <x:c r="A13" s="1" t="str">
        <x:v>Recorded residential-exemption credit</x:v>
      </x:c>
      <x:c r="B13" s="20" t="n">
        <x:v>0</x:v>
      </x:c>
      <x:c r="C13" s="20" t="n">
        <x:v>4353.74</x:v>
      </x:c>
      <x:c r="D13" s="4" t="str">
        <x:v>Verify actual eligibility; not assumed in the hypothetical development</x:v>
      </x:c>
      <x:c r="E13" s="1" t="str">
        <x:v>City taxes table</x:v>
      </x:c>
    </x:row>
    <x:row r="14" ht="20" customHeight="1">
      <x:c r="A14" s="1" t="str">
        <x:v>Community Preservation surcharge</x:v>
      </x:c>
      <x:c r="B14" s="20" t="n">
        <x:v>8028.73</x:v>
      </x:c>
      <x:c r="C14" s="20" t="n">
        <x:v>10518.08</x:v>
      </x:c>
      <x:c r="D14" s="4" t="str">
        <x:v>Reported CPA charge; 1% formula has assessment exclusions</x:v>
      </x:c>
      <x:c r="E14" s="1" t="str">
        <x:v>City taxes table</x:v>
      </x:c>
    </x:row>
    <x:row r="15" ht="20" customHeight="1">
      <x:c r="A15" s="7" t="str">
        <x:v>Reported net tax</x:v>
      </x:c>
      <x:c r="B15" s="25" t="n">
        <x:v>812059.4</x:v>
      </x:c>
      <x:c r="C15" s="25" t="n">
        <x:v>1063565.66</x:v>
      </x:c>
      <x:c r="D15" s="11" t="str">
        <x:v>Base gross minus recorded exemption plus CPA surcharge</x:v>
      </x:c>
      <x:c r="E15" s="7" t="str">
        <x:v>City taxes table net_tax</x:v>
      </x:c>
    </x:row>
    <x:row r="16" ht="20" customHeight="1">
      <x:c r="A16" s="1" t="str">
        <x:v>Reported total billed amount</x:v>
      </x:c>
      <x:c r="B16" s="20" t="n">
        <x:v>812059.4</x:v>
      </x:c>
      <x:c r="C16" s="20" t="n">
        <x:v>1067919.4</x:v>
      </x:c>
      <x:c r="D16" s="4" t="str">
        <x:v>FY2026 differs from net_tax by $4,353.74; bill/payment confirmation unavailable</x:v>
      </x:c>
      <x:c r="E16" s="1" t="str">
        <x:v>City taxes table total_billed_amt</x:v>
      </x:c>
    </x:row>
    <x:row r="17" ht="20" customHeight="1">
      <x:c r="A17" s="1" t="str">
        <x:v>Net tax per 150 apartments</x:v>
      </x:c>
      <x:c r="B17" s="20" t="n">
        <x:f>B15/Inputs!$B$6</x:f>
        <x:v>5413.729333333334</x:v>
      </x:c>
      <x:c r="C17" s="20" t="n">
        <x:f>C15/Inputs!$B$6</x:f>
        <x:v>7090.437733333333</x:v>
      </x:c>
      <x:c r="D17" s="4" t="str">
        <x:v>Denominator from public 150-unit Hew rental listing</x:v>
      </x:c>
      <x:c r="E17" s="1"/>
    </x:row>
    <x:row r="18" ht="20" customHeight="1">
      <x:c r="A18" s="1" t="str">
        <x:v>Effective net tax / assessed value</x:v>
      </x:c>
      <x:c r="B18" s="27" t="n">
        <x:f>B15/B11</x:f>
        <x:v>0.01169563332550801</x:v>
      </x:c>
      <x:c r="C18" s="27" t="n">
        <x:f>C15/C11</x:f>
        <x:v>0.012472288368242247</x:v>
      </x:c>
      <x:c r="D18" s="4" t="str">
        <x:v>Includes reported assessment relief / CPA treatment</x:v>
      </x:c>
      <x:c r="E18" s="1"/>
    </x:row>
    <x:row r="19" ht="20" customHeight="1">
      <x:c r="A19" s="1" t="str">
        <x:v>FY2026 Hew tax minus hypothetical market-case tax</x:v>
      </x:c>
      <x:c r="B19" s="3"/>
      <x:c r="C19" s="20" t="n">
        <x:f>C15+'Lease Economics'!B25</x:f>
        <x:v>110202.30413386854</x:v>
      </x:c>
      <x:c r="D19" s="4" t="str">
        <x:v>Cross-property context ONLY. Do not substitute directly into illustrative development project.</x:v>
      </x:c>
      <x:c r="E19" s="1"/>
    </x:row>
    <x:row r="20" ht="20" customHeight="1">
      <x:c r="A20" s="1"/>
      <x:c r="B20" s="3"/>
      <x:c r="C20" s="3"/>
      <x:c r="D20" s="3"/>
      <x:c r="E20" s="1"/>
    </x:row>
    <x:row r="21" ht="20" customHeight="1">
      <x:c r="A21" s="1"/>
      <x:c r="B21" s="3"/>
      <x:c r="C21" s="3"/>
      <x:c r="D21" s="3"/>
      <x:c r="E21" s="1"/>
    </x:row>
    <x:row r="22" ht="20" customHeight="1">
      <x:c r="A22" s="9" t="str">
        <x:v>RESEARCH BOUNDARIES</x:v>
      </x:c>
      <x:c r="B22" s="10"/>
      <x:c r="C22" s="10"/>
      <x:c r="D22" s="10"/>
      <x:c r="E22" s="9"/>
    </x:row>
    <x:row r="23" ht="20" customHeight="1">
      <x:c r="A23" s="1" t="str">
        <x:v>This is a public Boston municipal tax record, not a Hew audited operating statement or evidence of cash tax paid.</x:v>
      </x:c>
      <x:c r="B23" s="3"/>
      <x:c r="C23" s="3"/>
      <x:c r="D23" s="3"/>
      <x:c r="E23" s="1"/>
    </x:row>
    <x:row r="24" ht="20" customHeight="1">
      <x:c r="A24" s="1" t="str">
        <x:v>FY2026 recorded tax is available; Hew actual T-12 income, resident retention, staff payroll and full rent roll are not.</x:v>
      </x:c>
      <x:c r="B24" s="3"/>
      <x:c r="C24" s="3"/>
      <x:c r="D24" s="3"/>
      <x:c r="E24" s="1"/>
    </x:row>
    <x:row r="25" ht="20" customHeight="1">
      <x:c r="A25" s="1" t="str">
        <x:v>Different FY2026 Net Tax and Total Billed fields are reported separately rather than silently reconciled.</x:v>
      </x:c>
      <x:c r="B25" s="3"/>
      <x:c r="C25" s="3"/>
      <x:c r="D25" s="3"/>
      <x:c r="E25" s="1"/>
    </x:row>
    <x:row r="26" ht="20" customHeight="1">
      <x:c r="A26" s="1"/>
      <x:c r="B26" s="3"/>
      <x:c r="C26" s="3"/>
      <x:c r="D26" s="3"/>
      <x:c r="E26" s="1"/>
    </x:row>
    <x:row r="27" ht="20" customHeight="1">
      <x:c r="A27" s="1" t="str">
        <x:v>Official FY2026 parcel source</x:v>
      </x:c>
      <x:c r="B27" s="3" t="str"/>
      <x:c r="C27" s="3" t="str"/>
      <x:c r="D27" s="3" t="str"/>
      <x:c r="E27" s="1" t="str">
        <x:v>https://gisportal.boston.gov/arcgis/rest/services/Assessing/properties_boston_gov/MapServer/0/query?where=PID%3D%272101831000%27&amp;outFields=*&amp;returnGeometry=false&amp;f=pjson</x:v>
      </x:c>
    </x:row>
    <x:row r="28" ht="20" customHeight="1">
      <x:c r="A28" s="1" t="str">
        <x:v>Official FY2025 and FY2026 tax records</x:v>
      </x:c>
      <x:c r="B28" s="3" t="str"/>
      <x:c r="C28" s="3" t="str"/>
      <x:c r="D28" s="3" t="str"/>
      <x:c r="E28" s="1" t="str">
        <x:v>https://gisportal.boston.gov/arcgis/rest/services/Assessing/properties_boston_gov/MapServer/12/query?where=parcel_id%3D%272101831000%27&amp;outFields=*&amp;returnGeometry=false&amp;f=pjson</x:v>
      </x:c>
    </x:row>
    <x:row r="29" ht="20" customHeight="1">
      <x:c r="A29" s="1" t="str">
        <x:v>FY2026 tax rate, City of Boston</x:v>
      </x:c>
      <x:c r="B29" s="3" t="str"/>
      <x:c r="C29" s="3" t="str"/>
      <x:c r="D29" s="3" t="str"/>
      <x:c r="E29" s="1" t="str">
        <x:v>https://content.boston.gov/departments/assessing/how-we-tax-your-property</x:v>
      </x:c>
    </x:row>
    <x:row r="30" ht="20" customHeight="1">
      <x:c r="A30" s="1" t="str">
        <x:v>Corroborating 150-unit Hew 2025 commercial listing</x:v>
      </x:c>
      <x:c r="B30" s="3" t="str"/>
      <x:c r="C30" s="3" t="str"/>
      <x:c r="D30" s="3" t="str"/>
      <x:c r="E30" s="1" t="str">
        <x:v>https://www.loopnet.com/Listing/1525-Commonwealth-Ave-Boston-MA/36755412/</x:v>
      </x:c>
    </x:row>
    <x:row r="31" ht="20" customHeight="1">
      <x:c r="A31" s="1"/>
      <x:c r="B31" s="3"/>
      <x:c r="C31" s="3"/>
      <x:c r="D31" s="3"/>
      <x:c r="E31" s="1"/>
    </x:row>
    <x:row r="32" ht="20" customHeight="1">
      <x:c r="A32" s="1"/>
      <x:c r="B32" s="3"/>
      <x:c r="C32" s="3"/>
      <x:c r="D32" s="3"/>
      <x:c r="E32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9" hidden="0" customWidth="1"/>
    <x:col min="3" max="3" width="19" hidden="0" customWidth="1"/>
    <x:col min="4" max="4" width="71" hidden="0" customWidth="1"/>
  </x:cols>
  <x:sheetData>
    <x:row r="1" ht="20" customHeight="1">
      <x:c r="A1" s="2" t="str">
        <x:v>Demand – Census data</x:v>
      </x:c>
      <x:c r="B1" s="2"/>
      <x:c r="C1" s="2"/>
      <x:c r="D1" s="2"/>
    </x:row>
    <x:row r="2" ht="20" customHeight="1">
      <x:c r="A2" s="1" t="str">
        <x:v>Source: U.S. Census Bureau, ACS 2024 1-year estimates (some 5-year as noted), via Census Reporter, 'Boston City--Allston, Brighton &amp; Fenway PUMA, MA'. Many figures have margins of error of 10%+.</x:v>
      </x:c>
      <x:c r="B2" s="1"/>
      <x:c r="C2" s="1"/>
      <x:c r="D2" s="1"/>
    </x:row>
    <x:row r="3" ht="20" customHeight="1">
      <x:c r="A3" s="1"/>
      <x:c r="B3" s="1"/>
      <x:c r="C3" s="1"/>
      <x:c r="D3" s="1"/>
    </x:row>
    <x:row r="4" ht="26" customHeight="1">
      <x:c r="A4" s="6" t="str">
        <x:v>Metric</x:v>
      </x:c>
      <x:c r="B4" s="6" t="str">
        <x:v>Allston–Brighton–Fenway</x:v>
      </x:c>
      <x:c r="C4" s="6" t="str">
        <x:v>Massachusetts</x:v>
      </x:c>
      <x:c r="D4" s="6" t="str">
        <x:v>Why it matters</x:v>
      </x:c>
    </x:row>
    <x:row r="5" ht="20" customHeight="1">
      <x:c r="A5" s="1" t="str">
        <x:v>Population</x:v>
      </x:c>
      <x:c r="B5" s="3" t="n">
        <x:v>114374</x:v>
      </x:c>
      <x:c r="C5" s="3"/>
      <x:c r="D5" s="3" t="str">
        <x:v>Scale of the submarket</x:v>
      </x:c>
    </x:row>
    <x:row r="6" ht="20" customHeight="1">
      <x:c r="A6" s="1" t="str">
        <x:v>Median age</x:v>
      </x:c>
      <x:c r="B6" s="3" t="n">
        <x:v>26.2</x:v>
      </x:c>
      <x:c r="C6" s="3" t="n">
        <x:v>40.1</x:v>
      </x:c>
      <x:c r="D6" s="3" t="str">
        <x:v>Very young market: students and early-career renters</x:v>
      </x:c>
    </x:row>
    <x:row r="7" ht="20" customHeight="1">
      <x:c r="A7" s="1" t="str">
        <x:v>Share of population aged 20–29</x:v>
      </x:c>
      <x:c r="B7" s="27" t="n">
        <x:v>0.4</x:v>
      </x:c>
      <x:c r="C7" s="3"/>
      <x:c r="D7" s="3" t="str">
        <x:v>Core renter age group</x:v>
      </x:c>
    </x:row>
    <x:row r="8" ht="20" customHeight="1">
      <x:c r="A8" s="1" t="str">
        <x:v>Persons per household</x:v>
      </x:c>
      <x:c r="B8" s="3" t="n">
        <x:v>1.9</x:v>
      </x:c>
      <x:c r="C8" s="3" t="n">
        <x:v>2.4</x:v>
      </x:c>
      <x:c r="D8" s="3" t="str">
        <x:v>Small households point to studios and 1-bedrooms</x:v>
      </x:c>
    </x:row>
    <x:row r="9" ht="20" customHeight="1">
      <x:c r="A9" s="1" t="str">
        <x:v>Renter-occupied share</x:v>
      </x:c>
      <x:c r="B9" s="27" t="n">
        <x:v>0.8</x:v>
      </x:c>
      <x:c r="C9" s="3"/>
      <x:c r="D9" s="3" t="str">
        <x:v>Overwhelmingly a rental market</x:v>
      </x:c>
    </x:row>
    <x:row r="10" ht="20" customHeight="1">
      <x:c r="A10" s="1" t="str">
        <x:v>Occupied share of housing units</x:v>
      </x:c>
      <x:c r="B10" s="27" t="n">
        <x:v>0.94</x:v>
      </x:c>
      <x:c r="C10" s="3"/>
      <x:c r="D10" s="3" t="str">
        <x:v>~6% vacancy; supports the vacancy input</x:v>
      </x:c>
    </x:row>
    <x:row r="11" ht="20" customHeight="1">
      <x:c r="A11" s="1" t="str">
        <x:v>Moved since previous year</x:v>
      </x:c>
      <x:c r="B11" s="27" t="n">
        <x:v>0.315</x:v>
      </x:c>
      <x:c r="C11" s="3" t="n">
        <x:v>0.108</x:v>
      </x:c>
      <x:c r="D11" s="3" t="str">
        <x:v>High turnover: steady leasing demand, retention matters</x:v>
      </x:c>
    </x:row>
    <x:row r="12" ht="20" customHeight="1">
      <x:c r="A12" s="1" t="str">
        <x:v>Median household income</x:v>
      </x:c>
      <x:c r="B12" s="3" t="n">
        <x:v>80614</x:v>
      </x:c>
      <x:c r="C12" s="3" t="n">
        <x:v>104828</x:v>
      </x:c>
      <x:c r="D12" s="3" t="str">
        <x:v>Anchor for affordability</x:v>
      </x:c>
    </x:row>
    <x:row r="13" ht="20" customHeight="1">
      <x:c r="A13" s="1" t="str">
        <x:v>Persons below poverty line</x:v>
      </x:c>
      <x:c r="B13" s="27" t="n">
        <x:v>0.203</x:v>
      </x:c>
      <x:c r="C13" s="3" t="n">
        <x:v>0.097</x:v>
      </x:c>
      <x:c r="D13" s="3" t="str">
        <x:v>Supports the case for affordable units</x:v>
      </x:c>
    </x:row>
    <x:row r="14" ht="20" customHeight="1">
      <x:c r="A14" s="1" t="str">
        <x:v>Commute by public transit</x:v>
      </x:c>
      <x:c r="B14" s="27" t="n">
        <x:v>0.28</x:v>
      </x:c>
      <x:c r="C14" s="3"/>
      <x:c r="D14" s="3" t="str">
        <x:v>Transit access is a key amenity</x:v>
      </x:c>
    </x:row>
    <x:row r="15" ht="20" customHeight="1">
      <x:c r="A15" s="1" t="str">
        <x:v>Commute by walking</x:v>
      </x:c>
      <x:c r="B15" s="27" t="n">
        <x:v>0.21</x:v>
      </x:c>
      <x:c r="C15" s="3"/>
      <x:c r="D15" s="3" t="str">
        <x:v>Walkability matters</x:v>
      </x:c>
    </x:row>
    <x:row r="16" ht="20" customHeight="1">
      <x:c r="A16" s="1" t="str">
        <x:v>Median value, owner-occupied units (5-yr)</x:v>
      </x:c>
      <x:c r="B16" s="3" t="n">
        <x:v>649900</x:v>
      </x:c>
      <x:c r="C16" s="3" t="n">
        <x:v>607400</x:v>
      </x:c>
      <x:c r="D16" s="3" t="str">
        <x:v>Ownership is expensive, keeping households renting</x:v>
      </x:c>
    </x:row>
    <x:row r="17" ht="20" customHeight="1">
      <x:c r="A17" s="1"/>
      <x:c r="B17" s="3"/>
      <x:c r="C17" s="3"/>
      <x:c r="D17" s="3"/>
    </x:row>
    <x:row r="18" ht="20" customHeight="1">
      <x:c r="A18" s="1" t="str">
        <x:v>Note: this area includes Fenway, which has many students. For Brighton only, pull the census tracts around Hew on data.census.gov.</x:v>
      </x:c>
      <x:c r="B18" s="3"/>
      <x:c r="C18" s="3"/>
      <x:c r="D18" s="3"/>
    </x:row>
    <x:row r="19" ht="20" customHeight="1">
      <x:c r="A19" s="1"/>
      <x:c r="B19" s="3"/>
      <x:c r="C19" s="3"/>
      <x:c r="D19" s="3"/>
    </x:row>
    <x:row r="20" ht="20" customHeight="1">
      <x:c r="A20" s="1" t="str">
        <x:v>Historical context: this PUMA includes Fenway and is NOT the catchment around Hew.</x:v>
      </x:c>
      <x:c r="B20" s="3"/>
      <x:c r="C20" s="3"/>
      <x:c r="D20" s="3"/>
    </x:row>
    <x:row r="21" ht="20" customHeight="1">
      <x:c r="A21" s="1" t="str">
        <x:v>For a site decision, obtain ACS 5-year tract tables and document vintage / spatial boundaries.</x:v>
      </x:c>
      <x:c r="B21" s="3"/>
      <x:c r="C21" s="3"/>
      <x:c r="D21" s="3"/>
    </x:row>
    <x:row r="22" ht="20" customHeight="1">
      <x:c r="A22" s="1"/>
      <x:c r="B22" s="3"/>
      <x:c r="C22" s="3"/>
      <x:c r="D22" s="3"/>
    </x:row>
    <x:row r="23" ht="20" customHeight="1">
      <x:c r="A23" s="1"/>
      <x:c r="B23" s="3"/>
      <x:c r="C23" s="3"/>
      <x:c r="D23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9" hidden="0" customWidth="1"/>
    <x:col min="3" max="3" width="19" hidden="0" customWidth="1"/>
    <x:col min="4" max="4" width="88" hidden="0" customWidth="1"/>
  </x:cols>
  <x:sheetData>
    <x:row r="1" ht="20" customHeight="1">
      <x:c r="A1" s="2" t="str">
        <x:v>Model Audit — Reconciliation and Public-Data Limits</x:v>
      </x:c>
      <x:c r="B1" s="2"/>
      <x:c r="C1" s="2"/>
      <x:c r="D1" s="2"/>
    </x:row>
    <x:row r="2" ht="20" customHeight="1">
      <x:c r="A2" s="1"/>
      <x:c r="B2" s="1"/>
      <x:c r="C2" s="1"/>
      <x:c r="D2" s="1"/>
    </x:row>
    <x:row r="3" ht="26" customHeight="1">
      <x:c r="A3" s="6" t="str">
        <x:v>Reconciliation</x:v>
      </x:c>
      <x:c r="B3" s="6" t="str">
        <x:v>Difference (USD)</x:v>
      </x:c>
      <x:c r="C3" s="6" t="str">
        <x:v>Expected</x:v>
      </x:c>
      <x:c r="D3" s="6" t="str">
        <x:v>Meaning</x:v>
      </x:c>
    </x:row>
    <x:row r="4" ht="20" customHeight="1">
      <x:c r="A4" s="1"/>
      <x:c r="B4" s="1"/>
      <x:c r="C4" s="1"/>
      <x:c r="D4" s="1"/>
    </x:row>
    <x:row r="5" ht="20" customHeight="1">
      <x:c r="A5" s="1" t="str">
        <x:v>Expense inputs total</x:v>
      </x:c>
      <x:c r="B5" s="36" t="n">
        <x:f>Inputs!B44-SUM(Inputs!B35:B43)</x:f>
        <x:v>0</x:v>
      </x:c>
      <x:c r="C5" s="36" t="n">
        <x:v>0</x:v>
      </x:c>
      <x:c r="D5" s="3" t="str">
        <x:v>$7,180 per unit including $300 replacement reserve</x:v>
      </x:c>
    </x:row>
    <x:row r="6" ht="20" customHeight="1">
      <x:c r="A6" s="1" t="str">
        <x:v>Expense ex-reserve and conditional Internet cost</x:v>
      </x:c>
      <x:c r="B6" s="36" t="n">
        <x:f>Inputs!B45-(Inputs!B44-Inputs!B43-Inputs!B42*(1-Inputs!B49))</x:f>
        <x:v>0</x:v>
      </x:c>
      <x:c r="C6" s="36" t="n">
        <x:v>0</x:v>
      </x:c>
      <x:c r="D6" s="3" t="str">
        <x:v>$6,400 if owner Internet billing unverified; $6,880 if owner bills fee</x:v>
      </x:c>
    </x:row>
    <x:row r="7" ht="20" customHeight="1">
      <x:c r="A7" s="1" t="str">
        <x:v>Market NOI operating bridge</x:v>
      </x:c>
      <x:c r="B7" s="36" t="n">
        <x:f>'Lease Economics'!B26-SUM('Lease Economics'!B20:B22,'Lease Economics'!B25)</x:f>
        <x:v>0</x:v>
      </x:c>
      <x:c r="C7" s="36" t="n">
        <x:v>0</x:v>
      </x:c>
      <x:c r="D7" s="3" t="str">
        <x:v>NOI = gross income less current expenses and tax</x:v>
      </x:c>
    </x:row>
    <x:row r="8" ht="20" customHeight="1">
      <x:c r="A8" s="1" t="str">
        <x:v>Inclusionary NOI operating bridge</x:v>
      </x:c>
      <x:c r="B8" s="36" t="n">
        <x:f>'Lease Economics'!C26-SUM('Lease Economics'!C20:C22,'Lease Economics'!C25)</x:f>
        <x:v>0</x:v>
      </x:c>
      <x:c r="C8" s="36" t="n">
        <x:v>0</x:v>
      </x:c>
      <x:c r="D8" s="3" t="str">
        <x:v>All cases use the same cost drivers</x:v>
      </x:c>
    </x:row>
    <x:row r="9" ht="20" customHeight="1">
      <x:c r="A9" s="1" t="str">
        <x:v>Market loaded-tax value reconciliation</x:v>
      </x:c>
      <x:c r="B9" s="36" t="n">
        <x:f>'Lease Economics'!B24-'Lease Economics'!B26/Inputs!B29</x:f>
        <x:v>0</x:v>
      </x:c>
      <x:c r="C9" s="36" t="n">
        <x:v>0</x:v>
      </x:c>
      <x:c r="D9" s="3" t="str">
        <x:v>Modeled tax expense feeds directly into valuation</x:v>
      </x:c>
    </x:row>
    <x:row r="10" ht="20" customHeight="1">
      <x:c r="A10" s="1" t="str">
        <x:v>Mixed-income loaded-tax value reconciliation</x:v>
      </x:c>
      <x:c r="B10" s="36" t="n">
        <x:f>'Lease Economics'!C24-'Lease Economics'!C26/Inputs!B29</x:f>
        <x:v>0</x:v>
      </x:c>
      <x:c r="C10" s="36" t="n">
        <x:v>0</x:v>
      </x:c>
      <x:c r="D10" s="3" t="str">
        <x:v>No independent and inconsistent tax estimate</x:v>
      </x:c>
    </x:row>
    <x:row r="11" ht="20" customHeight="1">
      <x:c r="A11" s="1" t="str">
        <x:v>Market cost subtotal</x:v>
      </x:c>
      <x:c r="B11" s="36" t="n">
        <x:f>'Pro Forma'!B17-SUM('Pro Forma'!B13:B16)</x:f>
        <x:v>0</x:v>
      </x:c>
      <x:c r="C11" s="36" t="n">
        <x:v>0</x:v>
      </x:c>
      <x:c r="D11" s="3" t="str">
        <x:v>Historical land allocation is not a current land bid</x:v>
      </x:c>
    </x:row>
    <x:row r="12" ht="20" customHeight="1">
      <x:c r="A12" s="1" t="str">
        <x:v>Mixed-income unit mix</x:v>
      </x:c>
      <x:c r="B12" s="36" t="n">
        <x:f>'Lease Economics'!C5-SUM('Lease Economics'!C6:C8)</x:f>
        <x:v>0</x:v>
      </x:c>
      <x:c r="C12" s="36" t="n">
        <x:v>0</x:v>
      </x:c>
      <x:c r="D12" s="3" t="str">
        <x:v>Restricted, voucher and market units total 150</x:v>
      </x:c>
    </x:row>
    <x:row r="13" ht="20" customHeight="1">
      <x:c r="A13" s="1" t="str">
        <x:v>Income / pro forma market reconciliation</x:v>
      </x:c>
      <x:c r="B13" s="36" t="n">
        <x:f>'Pro Forma'!B25-'Lease Economics'!B20</x:f>
        <x:v>0</x:v>
      </x:c>
      <x:c r="C13" s="36" t="n">
        <x:v>0</x:v>
      </x:c>
      <x:c r="D13" s="3" t="str">
        <x:v>One authoritative lease-economics calculation</x:v>
      </x:c>
    </x:row>
    <x:row r="14" ht="20" customHeight="1">
      <x:c r="A14" s="1" t="str">
        <x:v>Sensitivity base rent reconciliation</x:v>
      </x:c>
      <x:c r="B14" s="36" t="n">
        <x:f>Sensitivity!B7-'Pro Forma'!B29</x:f>
        <x:v>4.656612873077393e-10</x:v>
      </x:c>
      <x:c r="C14" s="36" t="n">
        <x:v>0</x:v>
      </x:c>
      <x:c r="D14" s="3" t="str">
        <x:v>Zero rent change must match market NOI</x:v>
      </x:c>
    </x:row>
    <x:row r="15" ht="20" customHeight="1">
      <x:c r="A15" s="1" t="str">
        <x:v>Sensitivity base expense reconciliation</x:v>
      </x:c>
      <x:c r="B15" s="36" t="n">
        <x:f>Sensitivity!B15-'Pro Forma'!B29</x:f>
        <x:v>4.656612873077393e-10</x:v>
      </x:c>
      <x:c r="C15" s="36" t="n">
        <x:v>0</x:v>
      </x:c>
      <x:c r="D15" s="3" t="str">
        <x:v>Zero expense change must match market NOI</x:v>
      </x:c>
    </x:row>
    <x:row r="16" ht="20" customHeight="1">
      <x:c r="A16" s="1" t="str">
        <x:v>Sensitivity base concessions reconciliation</x:v>
      </x:c>
      <x:c r="B16" s="36" t="n">
        <x:f>Sensitivity!B23-'Pro Forma'!B29</x:f>
        <x:v>4.656612873077393e-10</x:v>
      </x:c>
      <x:c r="C16" s="36" t="n">
        <x:v>0</x:v>
      </x:c>
      <x:c r="D16" s="3" t="str">
        <x:v>2-month new-lease concession must match market NOI</x:v>
      </x:c>
    </x:row>
    <x:row r="17" ht="20" customHeight="1">
      <x:c r="A17" s="1" t="str">
        <x:v>Hew FY2026 assessment land + building</x:v>
      </x:c>
      <x:c r="B17" s="36" t="n">
        <x:f>'Hew Tax Evidence'!C11-SUM('Hew Tax Evidence'!C9:C10)</x:f>
        <x:v>0</x:v>
      </x:c>
      <x:c r="C17" s="36" t="n">
        <x:v>0</x:v>
      </x:c>
      <x:c r="D17" s="3" t="str">
        <x:v>Official city assessed value components must sum</x:v>
      </x:c>
    </x:row>
    <x:row r="18" ht="20" customHeight="1">
      <x:c r="A18" s="1" t="str">
        <x:v>Hew FY2025 assessment land + building</x:v>
      </x:c>
      <x:c r="B18" s="36" t="n">
        <x:f>'Hew Tax Evidence'!B11-SUM('Hew Tax Evidence'!B9:B10)</x:f>
        <x:v>0</x:v>
      </x:c>
      <x:c r="C18" s="36" t="n">
        <x:v>0</x:v>
      </x:c>
      <x:c r="D18" s="3" t="str">
        <x:v>Prior fiscal year assessment components must sum</x:v>
      </x:c>
    </x:row>
    <x:row r="19" ht="20" customHeight="1">
      <x:c r="A19" s="1" t="str">
        <x:v>Hew FY2026 reported net tax reconciliation</x:v>
      </x:c>
      <x:c r="B19" s="36" t="n">
        <x:f>'Hew Tax Evidence'!C15-('Hew Tax Evidence'!C12-'Hew Tax Evidence'!C13+'Hew Tax Evidence'!C14)</x:f>
        <x:v>-2.3283064365386963e-10</x:v>
      </x:c>
      <x:c r="C19" s="36" t="n">
        <x:v>0</x:v>
      </x:c>
      <x:c r="D19" s="3" t="str">
        <x:v>Gross less exemption + CPA surcharge matches published net tax</x:v>
      </x:c>
    </x:row>
    <x:row r="20" ht="20" customHeight="1">
      <x:c r="A20" s="1" t="str">
        <x:v>Hew FY2026 statutory rate reconciliation</x:v>
      </x:c>
      <x:c r="B20" s="36" t="n">
        <x:f>'Hew Tax Evidence'!C12-'Hew Tax Evidence'!C11*Inputs!B30</x:f>
        <x:v>0</x:v>
      </x:c>
      <x:c r="C20" s="36" t="n">
        <x:v>0</x:v>
      </x:c>
      <x:c r="D20" s="3" t="str">
        <x:v>$12.40 per $1,000 of FY2026 city assessed value</x:v>
      </x:c>
    </x:row>
    <x:row r="21" ht="20" customHeight="1">
      <x:c r="A21" s="1" t="str">
        <x:v>Hew FY2026 total billed reconciliation</x:v>
      </x:c>
      <x:c r="B21" s="36" t="n">
        <x:f>'Hew Tax Evidence'!C16-('Hew Tax Evidence'!C15+'Hew Tax Evidence'!C13)</x:f>
        <x:v>0</x:v>
      </x:c>
      <x:c r="C21" s="36" t="n">
        <x:v>0</x:v>
      </x:c>
      <x:c r="D21" s="3" t="str">
        <x:v>Total billed vs net tax recorded offset</x:v>
      </x:c>
    </x:row>
    <x:row r="22" ht="20" customHeight="1">
      <x:c r="A22" s="1"/>
      <x:c r="B22" s="3"/>
      <x:c r="C22" s="3"/>
      <x:c r="D22" s="3"/>
    </x:row>
    <x:row r="23" ht="20" customHeight="1">
      <x:c r="A23" s="9" t="str">
        <x:v>KEY UNVERIFIED SOURCES / BOUNDARIES</x:v>
      </x:c>
      <x:c r="B23" s="10"/>
      <x:c r="C23" s="10"/>
      <x:c r="D23" s="10"/>
    </x:row>
    <x:row r="24" ht="20" customHeight="1">
      <x:c r="A24" s="1" t="str">
        <x:v>Hew FY2026 municipal net tax is verified; no actual Hew T-12, rent roll, property insurance, staffing, or cash tax payment record.</x:v>
      </x:c>
      <x:c r="B24" s="3"/>
      <x:c r="C24" s="3"/>
      <x:c r="D24" s="3"/>
    </x:row>
    <x:row r="25" ht="20" customHeight="1">
      <x:c r="A25" s="1" t="str">
        <x:v>$7,180 cost COMPONENT budget is not observed; $300 reserve is below NOI, $480 vendor cost applies ONLY when owner bills fee.</x:v>
      </x:c>
      <x:c r="B25" s="3"/>
      <x:c r="C25" s="3"/>
      <x:c r="D25" s="3"/>
    </x:row>
    <x:row r="26" ht="20" customHeight="1">
      <x:c r="A26" s="1" t="str">
        <x:v>Hew property tax belongs to its own tax parcel; the separate new-build illustration still models tax using a loaded cap.</x:v>
      </x:c>
      <x:c r="B26" s="3"/>
      <x:c r="C26" s="3"/>
      <x:c r="D26" s="3"/>
    </x:row>
    <x:row r="27" ht="20" customHeight="1">
      <x:c r="A27" s="1" t="str">
        <x:v>Tenant apartment utilities and renters insurance are not owner-paid; common-area systems and property insurance remain cost scenarios.</x:v>
      </x:c>
      <x:c r="B27" s="3"/>
      <x:c r="C27" s="3"/>
      <x:c r="D27" s="3"/>
    </x:row>
    <x:row r="28" ht="20" customHeight="1">
      <x:c r="A28" s="1" t="str">
        <x:v>Internet $70 fee payee UNKNOWN; conservative scenario (Inputs B49=0) includes neither owner-billed fee nor vendor procurement.</x:v>
      </x:c>
      <x:c r="B28" s="3"/>
      <x:c r="C28" s="3"/>
      <x:c r="D28" s="3"/>
    </x:row>
    <x:row r="29" ht="20" customHeight="1">
      <x:c r="A29" s="1" t="str">
        <x:v>New/renewal concessions are market observations, not proof of executed leases, full turnover, or take-up frequency.</x:v>
      </x:c>
      <x:c r="B29" s="3"/>
      <x:c r="C29" s="3"/>
      <x:c r="D29" s="3"/>
    </x:row>
    <x:row r="30" ht="20" customHeight="1">
      <x:c r="A30" s="1" t="str">
        <x:v>Building-wide turnover and broker-sourced share are unavailable.</x:v>
      </x:c>
      <x:c r="B30" s="3"/>
      <x:c r="C30" s="3"/>
      <x:c r="D30" s="3"/>
    </x:row>
    <x:row r="31" ht="20" customHeight="1">
      <x:c r="A31" s="1" t="str">
        <x:v>Public edition excludes confidential transaction records.</x:v>
      </x:c>
      <x:c r="B31" s="3"/>
      <x:c r="C31" s="3"/>
      <x:c r="D31" s="3"/>
    </x:row>
    <x:row r="32" ht="20" customHeight="1">
      <x:c r="A32" s="1" t="str">
        <x:v>Voucher-rent market proxy requires project-specific SAFMR verification and cannot be called policy-compliant.</x:v>
      </x:c>
      <x:c r="B32" s="3"/>
      <x:c r="C32" s="3"/>
      <x:c r="D32" s="3"/>
    </x:row>
    <x:row r="33" ht="20" customHeight="1">
      <x:c r="A33" s="1" t="str">
        <x:v>The 17% restricted + 3% voucher policy is one large-project option, not a legal conclusion about Hew or other sites.</x:v>
      </x:c>
      <x:c r="B33" s="3"/>
      <x:c r="C33" s="3"/>
      <x:c r="D33" s="3"/>
    </x:row>
    <x:row r="34" ht="20" customHeight="1">
      <x:c r="A34" s="1" t="str">
        <x:v>Public availability cannot be equated with occupancy; source periods vary between FY2025, FY2026, 2024 PUMA and weekly quotes.</x:v>
      </x:c>
      <x:c r="B34" s="3"/>
      <x:c r="C34" s="3"/>
      <x:c r="D34" s="3"/>
    </x:row>
    <x:row r="35" ht="20" customHeight="1">
      <x:c r="A35" s="1" t="str">
        <x:v>No Hew purchase-price, sale terms, site payroll, full building rent mix or development invoices; no investment recommendation.</x:v>
      </x:c>
      <x:c r="B35" s="3"/>
      <x:c r="C35" s="3"/>
      <x:c r="D35" s="3"/>
    </x:row>
    <x:row r="36" ht="20" customHeight="1">
      <x:c r="A36" s="1"/>
      <x:c r="B36" s="3"/>
      <x:c r="C36" s="3"/>
      <x:c r="D36" s="3"/>
    </x:row>
    <x:row r="37" ht="20" customHeight="1">
      <x:c r="A37" s="1"/>
      <x:c r="B37" s="3"/>
      <x:c r="C37" s="3"/>
      <x:c r="D37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4" hidden="0" customWidth="1"/>
  </x:cols>
  <x:sheetData>
    <x:row r="1" ht="25" customHeight="1">
      <x:c r="A1" s="2" t="str">
        <x:v>Hew Public-Data Research — Final Workbook Guide (26 October 2026)</x:v>
      </x:c>
    </x:row>
    <x:row r="2" ht="25" customHeight="1">
      <x:c r="A2" s="9" t="str">
        <x:v>PURPOSE AND RESEARCH QUESTION</x:v>
      </x:c>
    </x:row>
    <x:row r="3" ht="25" customHeight="1">
      <x:c r="A3" t="str">
        <x:v>How do observed rent concessions and official Boston property taxes shape underwriting decisions for a new Brighton apartment building?</x:v>
      </x:c>
    </x:row>
    <x:row r="4" ht="25" customHeight="1">
      <x:c r="A4" t="str">
        <x:v>Layer 1: Hew historical leasing observations, public FY2026 tax assessment, comparative asking rents and limits.</x:v>
      </x:c>
    </x:row>
    <x:row r="5" ht="25" customHeight="1">
      <x:c r="A5" t="str">
        <x:v>Layer 2: Separate hypothetical 150-home ground-up development pro forma; NEVER call its NOI or indicated value Hew actuals.</x:v>
      </x:c>
    </x:row>
    <x:row r="6" ht="25" customHeight="1">
      <x:c r="A6" s="9" t="str">
        <x:v>KEY VERIFIED FINDINGS</x:v>
      </x:c>
    </x:row>
    <x:row r="7" ht="25" customHeight="1">
      <x:c r="A7" t="str">
        <x:v>Boston Parcel 2101831000, 1515 Commonwealth Ave, luxury apartment; FY2026 assessed $85,274,300, reported net tax $1,063,565.66.</x:v>
      </x:c>
    </x:row>
    <x:row r="8" ht="25" customHeight="1">
      <x:c r="A8" t="str">
        <x:v>Official FY2026 total billed is $1,067,919.40, differing from reported net tax by a recorded $4,353.74 exemption. Confirm bill before investment use.</x:v>
      </x:c>
    </x:row>
    <x:row r="9" ht="25" customHeight="1">
      <x:c r="A9" t="str">
        <x:v>Hew leasing business is marketed at 1525 Commonwealth Ave; the 2025 LoopNet 150-unit listing corroborates the tax parcel.</x:v>
      </x:c>
    </x:row>
    <x:row r="10" ht="25" customHeight="1">
      <x:c r="A10" s="9" t="str">
        <x:v>MARKET OBSERVATIONS</x:v>
      </x:c>
    </x:row>
    <x:row r="11" ht="25" customHeight="1">
      <x:c r="A11" t="str">
        <x:v>Broker practitioner reports Hew 2 months new-lease free, historically 2.5 months, and a May 2026 1-month renewal offer.</x:v>
      </x:c>
    </x:row>
    <x:row r="12" ht="25" customHeight="1">
      <x:c r="A12" t="str">
        <x:v>Broker commissions apply only to broker-sourced new tenants; the complete channel mix is unavailable.</x:v>
      </x:c>
    </x:row>
    <x:row r="13" ht="25" customHeight="1">
      <x:c r="A13" t="str">
        <x:v>Public edition: confidential transaction records are excluded. Financial model assumptions and calculations are retained.</x:v>
      </x:c>
    </x:row>
    <x:row r="14" ht="25" customHeight="1">
      <x:c r="A14" t="str">
        <x:v>Public listing counts are NOT actual vacancy, net absorption, signed leases, lease turnover or broker share.</x:v>
      </x:c>
    </x:row>
    <x:row r="15" ht="25" customHeight="1">
      <x:c r="A15" s="9" t="str">
        <x:v>MODEL INPUTS</x:v>
      </x:c>
    </x:row>
    <x:row r="16" ht="25" customHeight="1">
      <x:c r="A16" t="str">
        <x:v>Blue-highlighted inputs are editable. Known actuals are in Hew Tax Evidence; plausible but unverified drivers stay in Inputs.</x:v>
      </x:c>
    </x:row>
    <x:row r="17" ht="25" customHeight="1">
      <x:c r="A17" t="str">
        <x:v>The legacy $7,180/unit/year component budget includes $300 reserve and a $480 theoretical owner Internet vendor cost.</x:v>
      </x:c>
    </x:row>
    <x:row r="18" ht="25" customHeight="1">
      <x:c r="A18" t="str">
        <x:v>Inputs B49 defaults to 0: exclude BOTH $70/month Internet fee revenue and $480/year vendor cost without proof of owner billing.</x:v>
      </x:c>
    </x:row>
    <x:row r="19" ht="25" customHeight="1">
      <x:c r="A19" t="str">
        <x:v>Tenant in-unit utilities and renters insurance are tenant paid (Hew FAQ). Common-area utilities and owner property insurance remain scenario items.</x:v>
      </x:c>
    </x:row>
    <x:row r="20" ht="25" customHeight="1">
      <x:c r="A20" t="str">
        <x:v>The $2,000 annual payroll per apartment means $300,000 per 150-unit building; Greystar actual staffing and fee allocation unknown.</x:v>
      </x:c>
    </x:row>
    <x:row r="21" ht="25" customHeight="1">
      <x:c r="A21" t="str">
        <x:v>The model assumes 3% management fee on EGI and shows broker fees and reserve separately below property NOI.</x:v>
      </x:c>
    </x:row>
    <x:row r="22" ht="25" customHeight="1">
      <x:c r="A22" t="str">
        <x:v>The hypothetical site tax uses a loaded cap method; actual HEW city tax never silently feeds into another hypothetical parcel.</x:v>
      </x:c>
    </x:row>
    <x:row r="23" ht="25" customHeight="1">
      <x:c r="A23" t="str">
        <x:v>The 17% restricted + 3% voucher set-aside is one example of city policy; hypothetical rent and voucher payments need compliance review.</x:v>
      </x:c>
    </x:row>
    <x:row r="24" ht="25" customHeight="1">
      <x:c r="A24" s="9" t="str">
        <x:v>UNCERTAINTY / SCOPE</x:v>
      </x:c>
    </x:row>
    <x:row r="25" ht="25" customHeight="1">
      <x:c r="A25" t="str">
        <x:v>No actual Hew T-12, rent roll, leased-unit counts, staffing bill, insurance premium, verified Internet supplier invoice or property transaction price.</x:v>
      </x:c>
    </x:row>
    <x:row r="26" ht="25" customHeight="1">
      <x:c r="A26" t="str">
        <x:v>Demand retains earlier PUMA regional figures including Fenway; do not call them the site-specific Hew submarket.</x:v>
      </x:c>
    </x:row>
    <x:row r="27" ht="25" customHeight="1">
      <x:c r="A27" t="str">
        <x:v>No buy/sell recommendation or actual acquisition valuation is supported from this workbook.</x:v>
      </x:c>
    </x:row>
    <x:row r="28" ht="25" customHeight="1">
      <x:c r="A28" s="9" t="str">
        <x:v>NAVIGATION</x:v>
      </x:c>
    </x:row>
    <x:row r="29" ht="25" customHeight="1">
      <x:c r="A29" t="str">
        <x:v>Summary → Inputs → Lease Economics → Pro Forma → Sensitivity → Market Evidence → Hew Tax Evidence → Demand → Audit.</x:v>
      </x:c>
    </x:row>
    <x:row r="30" ht="25" customHeight="1">
      <x:c r="A30" t="str">
        <x:v>The earlier 2026 Excel was updated using newly verified FY2026 Boston parcel taxes; earlier versions remain in file history.</x:v>
      </x:c>
    </x:row>
    <x:row r="31" ht="25" customHeight="1"/>
  </x:sheetData>
  <x:pageMargins left="0.7" right="0.7" top="0.75" bottom="0.75" header="0.3" footer="0.3"/>
</x:worksheet>
</file>